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Vibe-Trading/"/>
    </mc:Choice>
  </mc:AlternateContent>
  <xr:revisionPtr revIDLastSave="19" documentId="11_EB556F4F16F3A8A29F6B8DC8EFFD123297BF7AED" xr6:coauthVersionLast="47" xr6:coauthVersionMax="47" xr10:uidLastSave="{4903E130-FEF6-4971-963A-DC18511101F1}"/>
  <bookViews>
    <workbookView xWindow="-28920" yWindow="-120" windowWidth="29040" windowHeight="15720" xr2:uid="{00000000-000D-0000-FFFF-FFFF00000000}"/>
  </bookViews>
  <sheets>
    <sheet name="commit_categories" sheetId="1" r:id="rId1"/>
    <sheet name="anomaly_normal" sheetId="2" r:id="rId2"/>
    <sheet name="anomaly_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4" i="3" l="1"/>
  <c r="O23" i="3"/>
  <c r="O12" i="3"/>
  <c r="P34" i="3"/>
  <c r="N34" i="3"/>
  <c r="P23" i="3"/>
  <c r="N23" i="3"/>
  <c r="P12" i="3"/>
  <c r="N12" i="3"/>
  <c r="O10" i="2"/>
  <c r="N10" i="2"/>
  <c r="O7" i="2"/>
  <c r="N7" i="2"/>
  <c r="O4" i="2"/>
  <c r="N4" i="2"/>
  <c r="O19" i="1"/>
  <c r="N19" i="1"/>
  <c r="O13" i="1"/>
  <c r="N13" i="1"/>
  <c r="O7" i="1"/>
  <c r="N7" i="1"/>
</calcChain>
</file>

<file path=xl/sharedStrings.xml><?xml version="1.0" encoding="utf-8"?>
<sst xmlns="http://schemas.openxmlformats.org/spreadsheetml/2006/main" count="240" uniqueCount="38">
  <si>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</si>
  <si>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</si>
  <si>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</si>
  <si>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</si>
  <si>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</si>
  <si>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</si>
  <si>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</si>
  <si>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</si>
  <si>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</si>
  <si>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</si>
  <si>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</si>
  <si>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</si>
  <si>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</si>
  <si>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bug_fixes</t>
  </si>
  <si>
    <t>heuristics_dep_0.5</t>
  </si>
  <si>
    <t>ok</t>
  </si>
  <si>
    <t>docs</t>
  </si>
  <si>
    <t>feature_work</t>
  </si>
  <si>
    <t>other</t>
  </si>
  <si>
    <t>tech_debt</t>
  </si>
  <si>
    <t>whole</t>
  </si>
  <si>
    <t>inductive_IMf_noise_0.2</t>
  </si>
  <si>
    <t>split_miner_eps_0.2_eta_0.5</t>
  </si>
  <si>
    <t>anomaly</t>
  </si>
  <si>
    <t>normal</t>
  </si>
  <si>
    <t>anomaly_bug_fixes</t>
  </si>
  <si>
    <t>anomaly_docs</t>
  </si>
  <si>
    <t>anomaly_feature_work</t>
  </si>
  <si>
    <t>anomaly_other</t>
  </si>
  <si>
    <t>anomaly_tech_debt</t>
  </si>
  <si>
    <t>normal_bug_fixes</t>
  </si>
  <si>
    <t>normal_docs</t>
  </si>
  <si>
    <t>normal_feature_work</t>
  </si>
  <si>
    <t>normal_other</t>
  </si>
  <si>
    <t>normal_tech_debt</t>
  </si>
  <si>
    <t>average</t>
  </si>
  <si>
    <t>weighted average</t>
  </si>
  <si>
    <t>anomaly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</si>
</sst>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H26" sqref="H26"/>
    </sheetView>
  </sheetViews>
  <sheetFormatPr defaultRowHeight="14.5" x14ac:dyDescent="0.35"/>
  <cols>
    <col min="15" max="15" width="16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5">
      <c r="A2" t="s">
        <v>13</v>
      </c>
      <c r="B2" t="s">
        <v>14</v>
      </c>
      <c r="C2">
        <v>265</v>
      </c>
      <c r="D2">
        <v>18.768219558001402</v>
      </c>
      <c r="E2">
        <v>8.5735849056603772</v>
      </c>
      <c r="F2">
        <v>0.54564005271655214</v>
      </c>
      <c r="G2">
        <v>0.83358364550636488</v>
      </c>
      <c r="H2">
        <v>0.84086593239650587</v>
      </c>
      <c r="I2">
        <v>0.83720895338879731</v>
      </c>
      <c r="J2">
        <v>317</v>
      </c>
      <c r="K2">
        <v>19</v>
      </c>
      <c r="L2">
        <v>0.4826254826254826</v>
      </c>
      <c r="M2" t="s">
        <v>15</v>
      </c>
    </row>
    <row r="3" spans="1:15" x14ac:dyDescent="0.35">
      <c r="A3" t="s">
        <v>16</v>
      </c>
      <c r="B3" t="s">
        <v>14</v>
      </c>
      <c r="C3">
        <v>20</v>
      </c>
      <c r="D3">
        <v>31.24066377314815</v>
      </c>
      <c r="E3">
        <v>7.9</v>
      </c>
      <c r="F3">
        <v>0.40601057920394668</v>
      </c>
      <c r="G3">
        <v>0.90114853062295786</v>
      </c>
      <c r="H3">
        <v>0.63707571801566587</v>
      </c>
      <c r="I3">
        <v>0.74644493180169191</v>
      </c>
      <c r="J3">
        <v>184</v>
      </c>
      <c r="K3">
        <v>10</v>
      </c>
      <c r="L3">
        <v>0.56204379562043805</v>
      </c>
      <c r="M3" t="s">
        <v>15</v>
      </c>
    </row>
    <row r="4" spans="1:15" x14ac:dyDescent="0.35">
      <c r="A4" t="s">
        <v>17</v>
      </c>
      <c r="B4" t="s">
        <v>14</v>
      </c>
      <c r="C4">
        <v>74</v>
      </c>
      <c r="D4">
        <v>26.40715058808809</v>
      </c>
      <c r="E4">
        <v>9.0810810810810807</v>
      </c>
      <c r="F4">
        <v>0.52187301039500533</v>
      </c>
      <c r="G4">
        <v>0.88538155514567229</v>
      </c>
      <c r="H4">
        <v>0.71102661596958172</v>
      </c>
      <c r="I4">
        <v>0.78868282233524545</v>
      </c>
      <c r="J4">
        <v>230</v>
      </c>
      <c r="K4">
        <v>13</v>
      </c>
      <c r="L4">
        <v>0.48663101604278081</v>
      </c>
      <c r="M4" t="s">
        <v>15</v>
      </c>
    </row>
    <row r="5" spans="1:15" x14ac:dyDescent="0.35">
      <c r="A5" t="s">
        <v>18</v>
      </c>
      <c r="B5" t="s">
        <v>14</v>
      </c>
      <c r="C5">
        <v>419</v>
      </c>
      <c r="D5">
        <v>22.00522181340051</v>
      </c>
      <c r="E5">
        <v>21.248210023866349</v>
      </c>
      <c r="F5">
        <v>0.53666319057541934</v>
      </c>
      <c r="G5">
        <v>0.94111839743831815</v>
      </c>
      <c r="H5">
        <v>0.18896869116519069</v>
      </c>
      <c r="I5">
        <v>0.31474018876751642</v>
      </c>
      <c r="J5">
        <v>582</v>
      </c>
      <c r="K5">
        <v>32</v>
      </c>
      <c r="L5">
        <v>0.44111776447105788</v>
      </c>
      <c r="M5" t="s">
        <v>15</v>
      </c>
    </row>
    <row r="6" spans="1:15" x14ac:dyDescent="0.35">
      <c r="A6" t="s">
        <v>19</v>
      </c>
      <c r="B6" t="s">
        <v>14</v>
      </c>
      <c r="C6">
        <v>81</v>
      </c>
      <c r="D6">
        <v>13.40547596593507</v>
      </c>
      <c r="E6">
        <v>11.111111111111111</v>
      </c>
      <c r="F6">
        <v>0.51446839198493755</v>
      </c>
      <c r="G6">
        <v>0.89405301398758374</v>
      </c>
      <c r="H6">
        <v>0.48953068592057758</v>
      </c>
      <c r="I6">
        <v>0.63265617427518506</v>
      </c>
      <c r="J6">
        <v>275</v>
      </c>
      <c r="K6">
        <v>9</v>
      </c>
      <c r="L6">
        <v>0.5</v>
      </c>
      <c r="M6" t="s">
        <v>15</v>
      </c>
      <c r="N6" t="s">
        <v>35</v>
      </c>
      <c r="O6" t="s">
        <v>36</v>
      </c>
    </row>
    <row r="7" spans="1:15" x14ac:dyDescent="0.35">
      <c r="A7" t="s">
        <v>20</v>
      </c>
      <c r="B7" t="s">
        <v>14</v>
      </c>
      <c r="C7">
        <v>859</v>
      </c>
      <c r="D7">
        <v>20.789932590113391</v>
      </c>
      <c r="E7">
        <v>15.023282887078</v>
      </c>
      <c r="F7">
        <v>0.5640185109715683</v>
      </c>
      <c r="G7">
        <v>0.90188886223605746</v>
      </c>
      <c r="H7">
        <v>0.247844568793679</v>
      </c>
      <c r="I7">
        <v>0.38883492491040927</v>
      </c>
      <c r="J7">
        <v>626</v>
      </c>
      <c r="K7">
        <v>35</v>
      </c>
      <c r="L7">
        <v>0.44237918215613381</v>
      </c>
      <c r="M7" t="s">
        <v>15</v>
      </c>
      <c r="N7" s="1">
        <f>AVERAGE(I2:I6)</f>
        <v>0.66394661411368716</v>
      </c>
      <c r="O7" s="1">
        <f>(C2*I2+C3*I3+C4*I4+C5*I5+C6*I6)/C7</f>
        <v>0.55677891658527656</v>
      </c>
    </row>
    <row r="8" spans="1:15" x14ac:dyDescent="0.35">
      <c r="A8" t="s">
        <v>13</v>
      </c>
      <c r="B8" t="s">
        <v>21</v>
      </c>
      <c r="C8">
        <v>265</v>
      </c>
      <c r="D8">
        <v>18.768219558001402</v>
      </c>
      <c r="E8">
        <v>8.5735849056603772</v>
      </c>
      <c r="F8">
        <v>0.78599728407814706</v>
      </c>
      <c r="G8">
        <v>0.95797120052232487</v>
      </c>
      <c r="H8">
        <v>0.53532870122928911</v>
      </c>
      <c r="I8">
        <v>0.68684057099198803</v>
      </c>
      <c r="J8">
        <v>211</v>
      </c>
      <c r="K8">
        <v>5</v>
      </c>
      <c r="L8">
        <v>0.65034965034965031</v>
      </c>
      <c r="M8" t="s">
        <v>15</v>
      </c>
    </row>
    <row r="9" spans="1:15" x14ac:dyDescent="0.35">
      <c r="A9" t="s">
        <v>16</v>
      </c>
      <c r="B9" t="s">
        <v>21</v>
      </c>
      <c r="C9">
        <v>20</v>
      </c>
      <c r="D9">
        <v>31.24066377314815</v>
      </c>
      <c r="E9">
        <v>7.9</v>
      </c>
      <c r="F9">
        <v>0.5938331401627206</v>
      </c>
      <c r="G9">
        <v>0.96651579026070755</v>
      </c>
      <c r="H9">
        <v>0.50318471337579618</v>
      </c>
      <c r="I9">
        <v>0.66181643088801612</v>
      </c>
      <c r="J9">
        <v>117</v>
      </c>
      <c r="K9">
        <v>3</v>
      </c>
      <c r="L9">
        <v>0.70666666666666667</v>
      </c>
      <c r="M9" t="s">
        <v>15</v>
      </c>
    </row>
    <row r="10" spans="1:15" x14ac:dyDescent="0.35">
      <c r="A10" t="s">
        <v>17</v>
      </c>
      <c r="B10" t="s">
        <v>21</v>
      </c>
      <c r="C10">
        <v>74</v>
      </c>
      <c r="D10">
        <v>26.40715058808809</v>
      </c>
      <c r="E10">
        <v>9.0810810810810807</v>
      </c>
      <c r="F10">
        <v>0.71440027808467699</v>
      </c>
      <c r="G10">
        <v>0.97582179323062657</v>
      </c>
      <c r="H10">
        <v>0.5379523389232127</v>
      </c>
      <c r="I10">
        <v>0.69355870851585011</v>
      </c>
      <c r="J10">
        <v>111</v>
      </c>
      <c r="K10">
        <v>2</v>
      </c>
      <c r="L10">
        <v>0.65333333333333332</v>
      </c>
      <c r="M10" t="s">
        <v>15</v>
      </c>
    </row>
    <row r="11" spans="1:15" x14ac:dyDescent="0.35">
      <c r="A11" t="s">
        <v>18</v>
      </c>
      <c r="B11" t="s">
        <v>21</v>
      </c>
      <c r="C11">
        <v>419</v>
      </c>
      <c r="D11">
        <v>22.00522181340051</v>
      </c>
      <c r="E11">
        <v>21.248210023866349</v>
      </c>
      <c r="F11">
        <v>0.74262368491009156</v>
      </c>
      <c r="G11">
        <v>0.96187037805657338</v>
      </c>
      <c r="H11">
        <v>0.47364182164299312</v>
      </c>
      <c r="I11">
        <v>0.63473098750745149</v>
      </c>
      <c r="J11">
        <v>350</v>
      </c>
      <c r="K11">
        <v>8</v>
      </c>
      <c r="L11">
        <v>0.62295081967213117</v>
      </c>
      <c r="M11" t="s">
        <v>15</v>
      </c>
    </row>
    <row r="12" spans="1:15" x14ac:dyDescent="0.35">
      <c r="A12" t="s">
        <v>19</v>
      </c>
      <c r="B12" t="s">
        <v>21</v>
      </c>
      <c r="C12">
        <v>81</v>
      </c>
      <c r="D12">
        <v>13.40547596593507</v>
      </c>
      <c r="E12">
        <v>11.111111111111111</v>
      </c>
      <c r="F12">
        <v>0.75913285926372542</v>
      </c>
      <c r="G12">
        <v>0.97359859398573001</v>
      </c>
      <c r="H12">
        <v>0.1981981981981982</v>
      </c>
      <c r="I12">
        <v>0.32934974456899252</v>
      </c>
      <c r="J12">
        <v>229</v>
      </c>
      <c r="K12">
        <v>7</v>
      </c>
      <c r="L12">
        <v>0.65161290322580645</v>
      </c>
      <c r="M12" t="s">
        <v>15</v>
      </c>
      <c r="N12" t="s">
        <v>35</v>
      </c>
      <c r="O12" t="s">
        <v>36</v>
      </c>
    </row>
    <row r="13" spans="1:15" x14ac:dyDescent="0.35">
      <c r="A13" t="s">
        <v>20</v>
      </c>
      <c r="B13" t="s">
        <v>21</v>
      </c>
      <c r="C13">
        <v>859</v>
      </c>
      <c r="D13">
        <v>20.789932590113391</v>
      </c>
      <c r="E13">
        <v>15.023282887078</v>
      </c>
      <c r="F13">
        <v>0.82470647832528654</v>
      </c>
      <c r="G13">
        <v>0.99128440598313872</v>
      </c>
      <c r="H13">
        <v>0.18128878281622909</v>
      </c>
      <c r="I13">
        <v>0.30652030099613808</v>
      </c>
      <c r="J13">
        <v>276</v>
      </c>
      <c r="K13">
        <v>4</v>
      </c>
      <c r="L13">
        <v>0.625</v>
      </c>
      <c r="M13" t="s">
        <v>15</v>
      </c>
      <c r="N13" s="1">
        <f>AVERAGE(I8:I12)</f>
        <v>0.60125928849445964</v>
      </c>
      <c r="O13" s="1">
        <f>(C8*I8+C9*I9+C10*I10+C11*I11+C12*I12)/C13</f>
        <v>0.62770900749303904</v>
      </c>
    </row>
    <row r="14" spans="1:15" x14ac:dyDescent="0.35">
      <c r="A14" t="s">
        <v>13</v>
      </c>
      <c r="B14" t="s">
        <v>22</v>
      </c>
      <c r="C14">
        <v>265</v>
      </c>
      <c r="D14">
        <v>18.768219558001402</v>
      </c>
      <c r="E14">
        <v>8.5735849056603772</v>
      </c>
      <c r="F14">
        <v>0.79605591570609768</v>
      </c>
      <c r="G14">
        <v>0.88959275588962861</v>
      </c>
      <c r="H14">
        <v>0.86516220028208746</v>
      </c>
      <c r="I14">
        <v>0.87720741102173783</v>
      </c>
      <c r="J14">
        <v>145</v>
      </c>
      <c r="K14">
        <v>9</v>
      </c>
      <c r="L14">
        <v>0.59615384615384626</v>
      </c>
      <c r="M14" t="s">
        <v>15</v>
      </c>
    </row>
    <row r="15" spans="1:15" x14ac:dyDescent="0.35">
      <c r="A15" t="s">
        <v>16</v>
      </c>
      <c r="B15" t="s">
        <v>22</v>
      </c>
      <c r="C15">
        <v>20</v>
      </c>
      <c r="D15">
        <v>31.24066377314815</v>
      </c>
      <c r="E15">
        <v>7.9</v>
      </c>
      <c r="F15">
        <v>0.51177273465185813</v>
      </c>
      <c r="G15">
        <v>0.88571428571428568</v>
      </c>
      <c r="H15">
        <v>0.77551020408163263</v>
      </c>
      <c r="I15">
        <v>0.82695682695682693</v>
      </c>
      <c r="J15">
        <v>92</v>
      </c>
      <c r="K15">
        <v>0</v>
      </c>
      <c r="L15">
        <v>0.72413793103448276</v>
      </c>
      <c r="M15" t="s">
        <v>15</v>
      </c>
    </row>
    <row r="16" spans="1:15" x14ac:dyDescent="0.35">
      <c r="A16" t="s">
        <v>17</v>
      </c>
      <c r="B16" t="s">
        <v>22</v>
      </c>
      <c r="C16">
        <v>74</v>
      </c>
      <c r="D16">
        <v>26.40715058808809</v>
      </c>
      <c r="E16">
        <v>9.0810810810810807</v>
      </c>
      <c r="F16">
        <v>0.70320577258482508</v>
      </c>
      <c r="G16">
        <v>0.88558951965065502</v>
      </c>
      <c r="H16">
        <v>0.78728923476005186</v>
      </c>
      <c r="I16">
        <v>0.83355125815186659</v>
      </c>
      <c r="J16">
        <v>101</v>
      </c>
      <c r="K16">
        <v>0</v>
      </c>
      <c r="L16">
        <v>0.67164179104477606</v>
      </c>
      <c r="M16" t="s">
        <v>15</v>
      </c>
    </row>
    <row r="17" spans="1:15" x14ac:dyDescent="0.35">
      <c r="A17" t="s">
        <v>18</v>
      </c>
      <c r="B17" t="s">
        <v>22</v>
      </c>
      <c r="C17">
        <v>419</v>
      </c>
      <c r="D17">
        <v>22.00522181340051</v>
      </c>
      <c r="E17">
        <v>21.248210023866349</v>
      </c>
      <c r="F17">
        <v>0.78593822494702736</v>
      </c>
      <c r="G17">
        <v>0.9110195977101111</v>
      </c>
      <c r="H17">
        <v>0.32472869710396202</v>
      </c>
      <c r="I17">
        <v>0.47879363174859207</v>
      </c>
      <c r="J17">
        <v>347</v>
      </c>
      <c r="K17">
        <v>48</v>
      </c>
      <c r="L17">
        <v>0.4201954397394137</v>
      </c>
      <c r="M17" t="s">
        <v>15</v>
      </c>
    </row>
    <row r="18" spans="1:15" x14ac:dyDescent="0.35">
      <c r="A18" t="s">
        <v>19</v>
      </c>
      <c r="B18" t="s">
        <v>22</v>
      </c>
      <c r="C18">
        <v>81</v>
      </c>
      <c r="D18">
        <v>13.40547596593507</v>
      </c>
      <c r="E18">
        <v>11.111111111111111</v>
      </c>
      <c r="F18">
        <v>0.7697214762412028</v>
      </c>
      <c r="G18">
        <v>0.93671576650300059</v>
      </c>
      <c r="H18">
        <v>0.49189526184538662</v>
      </c>
      <c r="I18">
        <v>0.64505458532178017</v>
      </c>
      <c r="J18">
        <v>137</v>
      </c>
      <c r="K18">
        <v>0</v>
      </c>
      <c r="L18">
        <v>0.67032967032967028</v>
      </c>
      <c r="M18" t="s">
        <v>15</v>
      </c>
      <c r="N18" t="s">
        <v>35</v>
      </c>
      <c r="O18" t="s">
        <v>36</v>
      </c>
    </row>
    <row r="19" spans="1:15" x14ac:dyDescent="0.35">
      <c r="A19" t="s">
        <v>20</v>
      </c>
      <c r="B19" t="s">
        <v>22</v>
      </c>
      <c r="C19">
        <v>859</v>
      </c>
      <c r="D19">
        <v>20.789932590113391</v>
      </c>
      <c r="E19">
        <v>15.023282887078</v>
      </c>
      <c r="F19">
        <v>0.79633705402610755</v>
      </c>
      <c r="G19">
        <v>0.95398375277624758</v>
      </c>
      <c r="H19">
        <v>0.41194991850644541</v>
      </c>
      <c r="I19">
        <v>0.57542110202701691</v>
      </c>
      <c r="J19">
        <v>292</v>
      </c>
      <c r="K19">
        <v>6</v>
      </c>
      <c r="L19">
        <v>0.5357142857142857</v>
      </c>
      <c r="M19" t="s">
        <v>15</v>
      </c>
      <c r="N19" s="1">
        <f>AVERAGE(I14:I18)</f>
        <v>0.73231274264016066</v>
      </c>
      <c r="O19" s="1">
        <f>(C14*I14+C15*I15+C16*I16+C17*I17+C18*I18)/C19</f>
        <v>0.65604871557259548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>
      <selection activeCell="A10" sqref="A10:XFD10"/>
    </sheetView>
  </sheetViews>
  <sheetFormatPr defaultRowHeight="14.5" x14ac:dyDescent="0.35"/>
  <cols>
    <col min="15" max="15" width="16.1796875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 x14ac:dyDescent="0.35">
      <c r="A2" t="s">
        <v>23</v>
      </c>
      <c r="B2" t="s">
        <v>14</v>
      </c>
      <c r="C2">
        <v>611</v>
      </c>
      <c r="D2">
        <v>13.91169017472874</v>
      </c>
      <c r="E2">
        <v>9.7070376432078564</v>
      </c>
      <c r="F2">
        <v>0.54191115415199786</v>
      </c>
      <c r="G2">
        <v>0.8908200849555411</v>
      </c>
      <c r="H2">
        <v>0.43303634563710941</v>
      </c>
      <c r="I2">
        <v>0.58277841206178949</v>
      </c>
      <c r="J2">
        <v>480</v>
      </c>
      <c r="K2">
        <v>19</v>
      </c>
      <c r="L2">
        <v>0.46268656716417911</v>
      </c>
      <c r="M2" t="s">
        <v>15</v>
      </c>
    </row>
    <row r="3" spans="1:15" x14ac:dyDescent="0.35">
      <c r="A3" t="s">
        <v>24</v>
      </c>
      <c r="B3" t="s">
        <v>14</v>
      </c>
      <c r="C3">
        <v>248</v>
      </c>
      <c r="D3">
        <v>37.735924992532851</v>
      </c>
      <c r="E3">
        <v>28.12096774193548</v>
      </c>
      <c r="F3">
        <v>0.50973255584642452</v>
      </c>
      <c r="G3">
        <v>0.9452119285203513</v>
      </c>
      <c r="H3">
        <v>0.32930696059187681</v>
      </c>
      <c r="I3">
        <v>0.48844292533480799</v>
      </c>
      <c r="J3">
        <v>546</v>
      </c>
      <c r="K3">
        <v>32</v>
      </c>
      <c r="L3">
        <v>0.45454545454545447</v>
      </c>
      <c r="M3" t="s">
        <v>15</v>
      </c>
      <c r="N3" t="s">
        <v>35</v>
      </c>
      <c r="O3" s="2" t="s">
        <v>36</v>
      </c>
    </row>
    <row r="4" spans="1:15" x14ac:dyDescent="0.35">
      <c r="A4" t="s">
        <v>20</v>
      </c>
      <c r="B4" t="s">
        <v>14</v>
      </c>
      <c r="C4">
        <v>859</v>
      </c>
      <c r="D4">
        <v>20.789932590113391</v>
      </c>
      <c r="E4">
        <v>15.023282887078</v>
      </c>
      <c r="F4">
        <v>0.56309166177874181</v>
      </c>
      <c r="G4">
        <v>0.90341973246846041</v>
      </c>
      <c r="H4">
        <v>0.247844568793679</v>
      </c>
      <c r="I4">
        <v>0.38897701212115199</v>
      </c>
      <c r="J4">
        <v>626</v>
      </c>
      <c r="K4">
        <v>35</v>
      </c>
      <c r="L4">
        <v>0.44237918215613381</v>
      </c>
      <c r="M4" t="s">
        <v>15</v>
      </c>
      <c r="N4" s="1">
        <f>AVERAGE(I2:I3)</f>
        <v>0.53561066869829876</v>
      </c>
      <c r="O4" s="1">
        <f>(C2*I2+C3*I3)/C4</f>
        <v>0.55554302124887744</v>
      </c>
    </row>
    <row r="5" spans="1:15" x14ac:dyDescent="0.35">
      <c r="A5" t="s">
        <v>23</v>
      </c>
      <c r="B5" t="s">
        <v>21</v>
      </c>
      <c r="C5">
        <v>611</v>
      </c>
      <c r="D5">
        <v>13.91169017472874</v>
      </c>
      <c r="E5">
        <v>9.7070376432078564</v>
      </c>
      <c r="F5">
        <v>0.8177083470534986</v>
      </c>
      <c r="G5">
        <v>0.97053567291514031</v>
      </c>
      <c r="H5">
        <v>0.32603717313734892</v>
      </c>
      <c r="I5">
        <v>0.4881032457059446</v>
      </c>
      <c r="J5">
        <v>288</v>
      </c>
      <c r="K5">
        <v>8</v>
      </c>
      <c r="L5">
        <v>0.63636363636363624</v>
      </c>
      <c r="M5" t="s">
        <v>15</v>
      </c>
    </row>
    <row r="6" spans="1:15" x14ac:dyDescent="0.35">
      <c r="A6" t="s">
        <v>24</v>
      </c>
      <c r="B6" t="s">
        <v>21</v>
      </c>
      <c r="C6">
        <v>248</v>
      </c>
      <c r="D6">
        <v>37.735924992532851</v>
      </c>
      <c r="E6">
        <v>28.12096774193548</v>
      </c>
      <c r="F6">
        <v>0.81353059185317378</v>
      </c>
      <c r="G6">
        <v>0.99924845090784276</v>
      </c>
      <c r="H6">
        <v>8.6182593743311942E-2</v>
      </c>
      <c r="I6">
        <v>0.15867949183432781</v>
      </c>
      <c r="J6">
        <v>229</v>
      </c>
      <c r="K6">
        <v>3</v>
      </c>
      <c r="L6">
        <v>0.61490683229813659</v>
      </c>
      <c r="M6" t="s">
        <v>15</v>
      </c>
      <c r="N6" t="s">
        <v>35</v>
      </c>
      <c r="O6" s="2" t="s">
        <v>36</v>
      </c>
    </row>
    <row r="7" spans="1:15" x14ac:dyDescent="0.35">
      <c r="A7" t="s">
        <v>20</v>
      </c>
      <c r="B7" t="s">
        <v>21</v>
      </c>
      <c r="C7">
        <v>859</v>
      </c>
      <c r="D7">
        <v>20.789932590113391</v>
      </c>
      <c r="E7">
        <v>15.023282887078</v>
      </c>
      <c r="F7">
        <v>0.82470647832528654</v>
      </c>
      <c r="G7">
        <v>0.99128440598313872</v>
      </c>
      <c r="H7">
        <v>0.18128878281622909</v>
      </c>
      <c r="I7">
        <v>0.30652030099613808</v>
      </c>
      <c r="J7">
        <v>276</v>
      </c>
      <c r="K7">
        <v>4</v>
      </c>
      <c r="L7">
        <v>0.625</v>
      </c>
      <c r="M7" t="s">
        <v>15</v>
      </c>
      <c r="N7" s="1">
        <f>AVERAGE(I5:I6)</f>
        <v>0.32339136877013619</v>
      </c>
      <c r="O7" s="1">
        <f>(C5*I5+C6*I6)/C7</f>
        <v>0.39299603853462795</v>
      </c>
    </row>
    <row r="8" spans="1:15" x14ac:dyDescent="0.35">
      <c r="A8" t="s">
        <v>23</v>
      </c>
      <c r="B8" t="s">
        <v>22</v>
      </c>
      <c r="C8">
        <v>611</v>
      </c>
      <c r="D8">
        <v>13.91169017472874</v>
      </c>
      <c r="E8">
        <v>9.7070376432078564</v>
      </c>
      <c r="F8">
        <v>0.77259257402820003</v>
      </c>
      <c r="G8">
        <v>0.81157957941615166</v>
      </c>
      <c r="H8">
        <v>0.6010154170020432</v>
      </c>
      <c r="I8">
        <v>0.69060394605664832</v>
      </c>
      <c r="J8">
        <v>361</v>
      </c>
      <c r="K8">
        <v>54</v>
      </c>
      <c r="L8">
        <v>0.40490797546012269</v>
      </c>
      <c r="M8" t="s">
        <v>15</v>
      </c>
    </row>
    <row r="9" spans="1:15" x14ac:dyDescent="0.35">
      <c r="A9" t="s">
        <v>24</v>
      </c>
      <c r="B9" t="s">
        <v>22</v>
      </c>
      <c r="C9">
        <v>248</v>
      </c>
      <c r="D9">
        <v>37.735924992532851</v>
      </c>
      <c r="E9">
        <v>28.12096774193548</v>
      </c>
      <c r="F9">
        <v>0.72932252786978102</v>
      </c>
      <c r="G9">
        <v>0.86216576302933334</v>
      </c>
      <c r="H9">
        <v>0.42890512697652128</v>
      </c>
      <c r="I9">
        <v>0.57283812830018754</v>
      </c>
      <c r="J9">
        <v>407</v>
      </c>
      <c r="K9">
        <v>104</v>
      </c>
      <c r="L9">
        <v>0.33007334963325191</v>
      </c>
      <c r="M9" t="s">
        <v>15</v>
      </c>
      <c r="N9" t="s">
        <v>35</v>
      </c>
      <c r="O9" s="2" t="s">
        <v>36</v>
      </c>
    </row>
    <row r="10" spans="1:15" x14ac:dyDescent="0.35">
      <c r="A10" t="s">
        <v>20</v>
      </c>
      <c r="B10" t="s">
        <v>22</v>
      </c>
      <c r="C10">
        <v>859</v>
      </c>
      <c r="D10">
        <v>20.789932590113391</v>
      </c>
      <c r="E10">
        <v>15.023282887078</v>
      </c>
      <c r="F10">
        <v>0.79633705402610755</v>
      </c>
      <c r="G10">
        <v>0.95398375277624758</v>
      </c>
      <c r="H10">
        <v>0.41194991850644541</v>
      </c>
      <c r="I10">
        <v>0.57542110202701691</v>
      </c>
      <c r="J10">
        <v>292</v>
      </c>
      <c r="K10">
        <v>6</v>
      </c>
      <c r="L10">
        <v>0.5357142857142857</v>
      </c>
      <c r="M10" t="s">
        <v>15</v>
      </c>
      <c r="N10" s="1">
        <f>AVERAGE(I8:I9)</f>
        <v>0.63172103717841788</v>
      </c>
      <c r="O10" s="1">
        <f>(C8*I8+C9*I9)/C10</f>
        <v>0.65660403592439887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workbookViewId="0">
      <selection activeCell="A34" sqref="A34:XFD34"/>
    </sheetView>
  </sheetViews>
  <sheetFormatPr defaultRowHeight="14.5" x14ac:dyDescent="0.35"/>
  <cols>
    <col min="15" max="15" width="15.36328125" bestFit="1" customWidth="1"/>
    <col min="16" max="16" width="16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6" x14ac:dyDescent="0.35">
      <c r="A2" t="s">
        <v>25</v>
      </c>
      <c r="B2" t="s">
        <v>14</v>
      </c>
      <c r="C2">
        <v>214</v>
      </c>
      <c r="D2">
        <v>13.425262688213911</v>
      </c>
      <c r="E2">
        <v>8.1448598130841123</v>
      </c>
      <c r="F2">
        <v>0.59842991617815744</v>
      </c>
      <c r="G2">
        <v>0.87261433644748387</v>
      </c>
      <c r="H2">
        <v>0.79451667608818544</v>
      </c>
      <c r="I2">
        <v>0.83173624254838663</v>
      </c>
      <c r="J2">
        <v>231</v>
      </c>
      <c r="K2">
        <v>13</v>
      </c>
      <c r="L2">
        <v>0.49462365591397839</v>
      </c>
      <c r="M2" t="s">
        <v>15</v>
      </c>
    </row>
    <row r="3" spans="1:16" x14ac:dyDescent="0.35">
      <c r="A3" t="s">
        <v>26</v>
      </c>
      <c r="B3" t="s">
        <v>14</v>
      </c>
      <c r="C3">
        <v>7</v>
      </c>
      <c r="D3">
        <v>22.945924272486771</v>
      </c>
      <c r="E3">
        <v>8.2857142857142865</v>
      </c>
      <c r="F3">
        <v>0.24205713769939449</v>
      </c>
      <c r="G3">
        <v>0.95145631067961167</v>
      </c>
      <c r="H3">
        <v>0.6160714285714286</v>
      </c>
      <c r="I3">
        <v>0.7478847536360117</v>
      </c>
      <c r="J3">
        <v>134</v>
      </c>
      <c r="K3">
        <v>0</v>
      </c>
      <c r="L3">
        <v>0.64835164835164838</v>
      </c>
      <c r="M3" t="s">
        <v>15</v>
      </c>
    </row>
    <row r="4" spans="1:16" x14ac:dyDescent="0.35">
      <c r="A4" t="s">
        <v>27</v>
      </c>
      <c r="B4" t="s">
        <v>14</v>
      </c>
      <c r="C4">
        <v>52</v>
      </c>
      <c r="D4">
        <v>17.082124955484328</v>
      </c>
      <c r="E4">
        <v>8.9807692307692299</v>
      </c>
      <c r="F4">
        <v>0.55581382810327462</v>
      </c>
      <c r="G4">
        <v>0.91639954399536916</v>
      </c>
      <c r="H4">
        <v>0.66464646464646471</v>
      </c>
      <c r="I4">
        <v>0.77047943423654575</v>
      </c>
      <c r="J4">
        <v>185</v>
      </c>
      <c r="K4">
        <v>7</v>
      </c>
      <c r="L4">
        <v>0.5</v>
      </c>
      <c r="M4" t="s">
        <v>15</v>
      </c>
    </row>
    <row r="5" spans="1:16" x14ac:dyDescent="0.35">
      <c r="A5" t="s">
        <v>28</v>
      </c>
      <c r="B5" t="s">
        <v>14</v>
      </c>
      <c r="C5">
        <v>273</v>
      </c>
      <c r="D5">
        <v>13.573800790259121</v>
      </c>
      <c r="E5">
        <v>10.699633699633701</v>
      </c>
      <c r="F5">
        <v>0.50106919938903915</v>
      </c>
      <c r="G5">
        <v>0.91066070325590376</v>
      </c>
      <c r="H5">
        <v>0.35943846018011649</v>
      </c>
      <c r="I5">
        <v>0.51543452723694783</v>
      </c>
      <c r="J5">
        <v>474</v>
      </c>
      <c r="K5">
        <v>26</v>
      </c>
      <c r="L5">
        <v>0.44691358024691358</v>
      </c>
      <c r="M5" t="s">
        <v>15</v>
      </c>
    </row>
    <row r="6" spans="1:16" x14ac:dyDescent="0.35">
      <c r="A6" t="s">
        <v>29</v>
      </c>
      <c r="B6" t="s">
        <v>14</v>
      </c>
      <c r="C6">
        <v>65</v>
      </c>
      <c r="D6">
        <v>13.423029202279199</v>
      </c>
      <c r="E6">
        <v>11.415384615384619</v>
      </c>
      <c r="F6">
        <v>0.55430163671533839</v>
      </c>
      <c r="G6">
        <v>0.90180080482897385</v>
      </c>
      <c r="H6">
        <v>0.4465541490857946</v>
      </c>
      <c r="I6">
        <v>0.59732474727977691</v>
      </c>
      <c r="J6">
        <v>242</v>
      </c>
      <c r="K6">
        <v>8</v>
      </c>
      <c r="L6">
        <v>0.51578947368421046</v>
      </c>
      <c r="M6" t="s">
        <v>15</v>
      </c>
    </row>
    <row r="7" spans="1:16" x14ac:dyDescent="0.35">
      <c r="A7" t="s">
        <v>30</v>
      </c>
      <c r="B7" t="s">
        <v>14</v>
      </c>
      <c r="C7">
        <v>51</v>
      </c>
      <c r="D7">
        <v>41.18768563907043</v>
      </c>
      <c r="E7">
        <v>10.37254901960784</v>
      </c>
      <c r="F7">
        <v>0.47946090256060891</v>
      </c>
      <c r="G7">
        <v>0.85961357139650096</v>
      </c>
      <c r="H7">
        <v>0.64722617354196299</v>
      </c>
      <c r="I7">
        <v>0.73845198788862443</v>
      </c>
      <c r="J7">
        <v>284</v>
      </c>
      <c r="K7">
        <v>22</v>
      </c>
      <c r="L7">
        <v>0.48275862068965508</v>
      </c>
      <c r="M7" t="s">
        <v>15</v>
      </c>
    </row>
    <row r="8" spans="1:16" x14ac:dyDescent="0.35">
      <c r="A8" t="s">
        <v>31</v>
      </c>
      <c r="B8" t="s">
        <v>14</v>
      </c>
      <c r="C8">
        <v>13</v>
      </c>
      <c r="D8">
        <v>35.707061965811967</v>
      </c>
      <c r="E8">
        <v>7.6923076923076934</v>
      </c>
      <c r="F8">
        <v>0.419791600661647</v>
      </c>
      <c r="G8">
        <v>0.87255241725870736</v>
      </c>
      <c r="H8">
        <v>0.82580645161290323</v>
      </c>
      <c r="I8">
        <v>0.84853611183060984</v>
      </c>
      <c r="J8">
        <v>121</v>
      </c>
      <c r="K8">
        <v>6</v>
      </c>
      <c r="L8">
        <v>0.60465116279069775</v>
      </c>
      <c r="M8" t="s">
        <v>15</v>
      </c>
    </row>
    <row r="9" spans="1:16" x14ac:dyDescent="0.35">
      <c r="A9" t="s">
        <v>32</v>
      </c>
      <c r="B9" t="s">
        <v>14</v>
      </c>
      <c r="C9">
        <v>22</v>
      </c>
      <c r="D9">
        <v>48.448120265151523</v>
      </c>
      <c r="E9">
        <v>9.3181818181818183</v>
      </c>
      <c r="F9">
        <v>0.44901407556654432</v>
      </c>
      <c r="G9">
        <v>0.90158656975482754</v>
      </c>
      <c r="H9">
        <v>0.70445344129554655</v>
      </c>
      <c r="I9">
        <v>0.79092146810745245</v>
      </c>
      <c r="J9">
        <v>190</v>
      </c>
      <c r="K9">
        <v>10</v>
      </c>
      <c r="L9">
        <v>0.5</v>
      </c>
      <c r="M9" t="s">
        <v>15</v>
      </c>
    </row>
    <row r="10" spans="1:16" x14ac:dyDescent="0.35">
      <c r="A10" t="s">
        <v>33</v>
      </c>
      <c r="B10" t="s">
        <v>14</v>
      </c>
      <c r="C10">
        <v>146</v>
      </c>
      <c r="D10">
        <v>37.770824137493662</v>
      </c>
      <c r="E10">
        <v>40.972602739726028</v>
      </c>
      <c r="F10">
        <v>0.47312278098907318</v>
      </c>
      <c r="G10">
        <v>0.96490019543312844</v>
      </c>
      <c r="H10">
        <v>0.24303082935301781</v>
      </c>
      <c r="I10">
        <v>0.38826802181112691</v>
      </c>
      <c r="J10">
        <v>487</v>
      </c>
      <c r="K10">
        <v>26</v>
      </c>
      <c r="L10">
        <v>0.45853658536585362</v>
      </c>
      <c r="M10" t="s">
        <v>15</v>
      </c>
    </row>
    <row r="11" spans="1:16" x14ac:dyDescent="0.35">
      <c r="A11" t="s">
        <v>34</v>
      </c>
      <c r="B11" t="s">
        <v>14</v>
      </c>
      <c r="C11">
        <v>16</v>
      </c>
      <c r="D11">
        <v>13.33416594328704</v>
      </c>
      <c r="E11">
        <v>9.875</v>
      </c>
      <c r="F11">
        <v>0.38561227312474822</v>
      </c>
      <c r="G11">
        <v>0.89046057566600223</v>
      </c>
      <c r="H11">
        <v>0.59239130434782616</v>
      </c>
      <c r="I11">
        <v>0.71146836578739081</v>
      </c>
      <c r="J11">
        <v>148</v>
      </c>
      <c r="K11">
        <v>3</v>
      </c>
      <c r="L11">
        <v>0.58878504672897192</v>
      </c>
      <c r="M11" t="s">
        <v>15</v>
      </c>
      <c r="N11" t="s">
        <v>35</v>
      </c>
      <c r="O11" t="s">
        <v>37</v>
      </c>
      <c r="P11" s="2" t="s">
        <v>36</v>
      </c>
    </row>
    <row r="12" spans="1:16" x14ac:dyDescent="0.35">
      <c r="A12" t="s">
        <v>20</v>
      </c>
      <c r="B12" t="s">
        <v>14</v>
      </c>
      <c r="C12">
        <v>859</v>
      </c>
      <c r="D12">
        <v>20.789932590113391</v>
      </c>
      <c r="E12">
        <v>15.023282887078</v>
      </c>
      <c r="F12">
        <v>0.56669155192856469</v>
      </c>
      <c r="G12">
        <v>0.90252305459920934</v>
      </c>
      <c r="H12">
        <v>0.24787433347744639</v>
      </c>
      <c r="I12">
        <v>0.38893047380928347</v>
      </c>
      <c r="J12">
        <v>626</v>
      </c>
      <c r="K12">
        <v>35</v>
      </c>
      <c r="L12">
        <v>0.44237918215613381</v>
      </c>
      <c r="M12" t="s">
        <v>15</v>
      </c>
      <c r="N12" s="1">
        <f>AVERAGE(I2:I11)</f>
        <v>0.69405056603628734</v>
      </c>
      <c r="O12" s="1">
        <f>AVERAGE(I2:I6)</f>
        <v>0.69257194098753383</v>
      </c>
      <c r="P12" s="1">
        <f>(C2*I2+C3*I3+C4*I4+C5*I5+C6*I6+C7*I7+C8*I8+C9*I9+C10*I10+C11*I11)/C12</f>
        <v>0.62513892018799067</v>
      </c>
    </row>
    <row r="13" spans="1:16" x14ac:dyDescent="0.35">
      <c r="A13" t="s">
        <v>25</v>
      </c>
      <c r="B13" t="s">
        <v>21</v>
      </c>
      <c r="C13">
        <v>214</v>
      </c>
      <c r="D13">
        <v>13.425262688213911</v>
      </c>
      <c r="E13">
        <v>8.1448598130841123</v>
      </c>
      <c r="F13">
        <v>0.75535972884507463</v>
      </c>
      <c r="G13">
        <v>0.97977975576712506</v>
      </c>
      <c r="H13">
        <v>0.39757490964206599</v>
      </c>
      <c r="I13">
        <v>0.56562896638174898</v>
      </c>
      <c r="J13">
        <v>207</v>
      </c>
      <c r="K13">
        <v>5</v>
      </c>
      <c r="L13">
        <v>0.64539007092198586</v>
      </c>
      <c r="M13" t="s">
        <v>15</v>
      </c>
    </row>
    <row r="14" spans="1:16" x14ac:dyDescent="0.35">
      <c r="A14" t="s">
        <v>26</v>
      </c>
      <c r="B14" t="s">
        <v>21</v>
      </c>
      <c r="C14">
        <v>7</v>
      </c>
      <c r="D14">
        <v>22.945924272486771</v>
      </c>
      <c r="E14">
        <v>8.2857142857142865</v>
      </c>
      <c r="F14">
        <v>0.3558866876510608</v>
      </c>
      <c r="G14">
        <v>0.96870672943782887</v>
      </c>
      <c r="H14">
        <v>0.33179723502304148</v>
      </c>
      <c r="I14">
        <v>0.49429178712104721</v>
      </c>
      <c r="J14">
        <v>146</v>
      </c>
      <c r="K14">
        <v>5</v>
      </c>
      <c r="L14">
        <v>0.7021276595744681</v>
      </c>
      <c r="M14" t="s">
        <v>15</v>
      </c>
    </row>
    <row r="15" spans="1:16" x14ac:dyDescent="0.35">
      <c r="A15" t="s">
        <v>27</v>
      </c>
      <c r="B15" t="s">
        <v>21</v>
      </c>
      <c r="C15">
        <v>52</v>
      </c>
      <c r="D15">
        <v>17.082124955484328</v>
      </c>
      <c r="E15">
        <v>8.9807692307692299</v>
      </c>
      <c r="F15">
        <v>0.68668406299781304</v>
      </c>
      <c r="G15">
        <v>0.9742582564768536</v>
      </c>
      <c r="H15">
        <v>0.48668730650154801</v>
      </c>
      <c r="I15">
        <v>0.64911265511489025</v>
      </c>
      <c r="J15">
        <v>111</v>
      </c>
      <c r="K15">
        <v>2</v>
      </c>
      <c r="L15">
        <v>0.65333333333333332</v>
      </c>
      <c r="M15" t="s">
        <v>15</v>
      </c>
    </row>
    <row r="16" spans="1:16" x14ac:dyDescent="0.35">
      <c r="A16" t="s">
        <v>28</v>
      </c>
      <c r="B16" t="s">
        <v>21</v>
      </c>
      <c r="C16">
        <v>273</v>
      </c>
      <c r="D16">
        <v>13.573800790259121</v>
      </c>
      <c r="E16">
        <v>10.699633699633701</v>
      </c>
      <c r="F16">
        <v>0.71880536918146709</v>
      </c>
      <c r="G16">
        <v>0.95116940528928728</v>
      </c>
      <c r="H16">
        <v>0.45599814729041221</v>
      </c>
      <c r="I16">
        <v>0.61646032951242657</v>
      </c>
      <c r="J16">
        <v>281</v>
      </c>
      <c r="K16">
        <v>6</v>
      </c>
      <c r="L16">
        <v>0.63730569948186522</v>
      </c>
      <c r="M16" t="s">
        <v>15</v>
      </c>
    </row>
    <row r="17" spans="1:16" x14ac:dyDescent="0.35">
      <c r="A17" t="s">
        <v>29</v>
      </c>
      <c r="B17" t="s">
        <v>21</v>
      </c>
      <c r="C17">
        <v>65</v>
      </c>
      <c r="D17">
        <v>13.423029202279199</v>
      </c>
      <c r="E17">
        <v>11.415384615384619</v>
      </c>
      <c r="F17">
        <v>0.80204555672472866</v>
      </c>
      <c r="G17">
        <v>0.97599820983810703</v>
      </c>
      <c r="H17">
        <v>0.21320008328128251</v>
      </c>
      <c r="I17">
        <v>0.34995492479903278</v>
      </c>
      <c r="J17">
        <v>190</v>
      </c>
      <c r="K17">
        <v>6</v>
      </c>
      <c r="L17">
        <v>0.65625</v>
      </c>
      <c r="M17" t="s">
        <v>15</v>
      </c>
    </row>
    <row r="18" spans="1:16" x14ac:dyDescent="0.35">
      <c r="A18" t="s">
        <v>30</v>
      </c>
      <c r="B18" t="s">
        <v>21</v>
      </c>
      <c r="C18">
        <v>51</v>
      </c>
      <c r="D18">
        <v>41.18768563907043</v>
      </c>
      <c r="E18">
        <v>10.37254901960784</v>
      </c>
      <c r="F18">
        <v>0.7641269219459258</v>
      </c>
      <c r="G18">
        <v>0.96062290870132572</v>
      </c>
      <c r="H18">
        <v>0.37738549618320621</v>
      </c>
      <c r="I18">
        <v>0.54188770671659559</v>
      </c>
      <c r="J18">
        <v>137</v>
      </c>
      <c r="K18">
        <v>5</v>
      </c>
      <c r="L18">
        <v>0.67032967032967028</v>
      </c>
      <c r="M18" t="s">
        <v>15</v>
      </c>
    </row>
    <row r="19" spans="1:16" x14ac:dyDescent="0.35">
      <c r="A19" t="s">
        <v>31</v>
      </c>
      <c r="B19" t="s">
        <v>21</v>
      </c>
      <c r="C19">
        <v>13</v>
      </c>
      <c r="D19">
        <v>35.707061965811967</v>
      </c>
      <c r="E19">
        <v>7.6923076923076934</v>
      </c>
      <c r="F19">
        <v>0.61715260759157231</v>
      </c>
      <c r="G19">
        <v>0.97960815673730506</v>
      </c>
      <c r="H19">
        <v>0.61157024793388426</v>
      </c>
      <c r="I19">
        <v>0.75302580972080313</v>
      </c>
      <c r="J19">
        <v>95</v>
      </c>
      <c r="K19">
        <v>2</v>
      </c>
      <c r="L19">
        <v>0.70491803278688536</v>
      </c>
      <c r="M19" t="s">
        <v>15</v>
      </c>
    </row>
    <row r="20" spans="1:16" x14ac:dyDescent="0.35">
      <c r="A20" t="s">
        <v>32</v>
      </c>
      <c r="B20" t="s">
        <v>21</v>
      </c>
      <c r="C20">
        <v>22</v>
      </c>
      <c r="D20">
        <v>48.448120265151523</v>
      </c>
      <c r="E20">
        <v>9.3181818181818183</v>
      </c>
      <c r="F20">
        <v>0.73432084268651954</v>
      </c>
      <c r="G20">
        <v>0.97462997224791859</v>
      </c>
      <c r="H20">
        <v>0.29775880469583782</v>
      </c>
      <c r="I20">
        <v>0.45615720731888498</v>
      </c>
      <c r="J20">
        <v>116</v>
      </c>
      <c r="K20">
        <v>3</v>
      </c>
      <c r="L20">
        <v>0.68421052631578938</v>
      </c>
      <c r="M20" t="s">
        <v>15</v>
      </c>
    </row>
    <row r="21" spans="1:16" x14ac:dyDescent="0.35">
      <c r="A21" t="s">
        <v>33</v>
      </c>
      <c r="B21" t="s">
        <v>21</v>
      </c>
      <c r="C21">
        <v>146</v>
      </c>
      <c r="D21">
        <v>37.770824137493662</v>
      </c>
      <c r="E21">
        <v>40.972602739726028</v>
      </c>
      <c r="F21">
        <v>0.81101843779639637</v>
      </c>
      <c r="G21">
        <v>0.99523948027870335</v>
      </c>
      <c r="H21">
        <v>7.0749619970330246E-2</v>
      </c>
      <c r="I21">
        <v>0.13210794555542379</v>
      </c>
      <c r="J21">
        <v>196</v>
      </c>
      <c r="K21">
        <v>3</v>
      </c>
      <c r="L21">
        <v>0.60000000000000009</v>
      </c>
      <c r="M21" t="s">
        <v>15</v>
      </c>
    </row>
    <row r="22" spans="1:16" x14ac:dyDescent="0.35">
      <c r="A22" t="s">
        <v>34</v>
      </c>
      <c r="B22" t="s">
        <v>21</v>
      </c>
      <c r="C22">
        <v>16</v>
      </c>
      <c r="D22">
        <v>13.33416594328704</v>
      </c>
      <c r="E22">
        <v>9.875</v>
      </c>
      <c r="F22">
        <v>0.65154235751726175</v>
      </c>
      <c r="G22">
        <v>0.97820720534951544</v>
      </c>
      <c r="H22">
        <v>0.36411149825783973</v>
      </c>
      <c r="I22">
        <v>0.53068841280276524</v>
      </c>
      <c r="J22">
        <v>120</v>
      </c>
      <c r="K22">
        <v>3</v>
      </c>
      <c r="L22">
        <v>0.69230769230769218</v>
      </c>
      <c r="M22" t="s">
        <v>15</v>
      </c>
      <c r="N22" t="s">
        <v>35</v>
      </c>
      <c r="O22" t="s">
        <v>37</v>
      </c>
      <c r="P22" s="2" t="s">
        <v>36</v>
      </c>
    </row>
    <row r="23" spans="1:16" x14ac:dyDescent="0.35">
      <c r="A23" t="s">
        <v>20</v>
      </c>
      <c r="B23" t="s">
        <v>21</v>
      </c>
      <c r="C23">
        <v>859</v>
      </c>
      <c r="D23">
        <v>20.789932590113391</v>
      </c>
      <c r="E23">
        <v>15.023282887078</v>
      </c>
      <c r="F23">
        <v>0.82470647832528654</v>
      </c>
      <c r="G23">
        <v>0.99128440598313872</v>
      </c>
      <c r="H23">
        <v>0.18128878281622909</v>
      </c>
      <c r="I23">
        <v>0.30652030099613808</v>
      </c>
      <c r="J23">
        <v>276</v>
      </c>
      <c r="K23">
        <v>4</v>
      </c>
      <c r="L23">
        <v>0.625</v>
      </c>
      <c r="M23" t="s">
        <v>15</v>
      </c>
      <c r="N23" s="1">
        <f>AVERAGE(I13:I22)</f>
        <v>0.50893157450436177</v>
      </c>
      <c r="O23" s="1">
        <f>AVERAGE(I13:I17)</f>
        <v>0.53508973258582915</v>
      </c>
      <c r="P23" s="1">
        <f>(C13*I13+C14*I14+C15*I15+C16*I16+C17*I17+C18*I18+C19*I19+C20*I20+C21*I21+C22*I22)/C23</f>
        <v>0.49422477443098239</v>
      </c>
    </row>
    <row r="24" spans="1:16" x14ac:dyDescent="0.35">
      <c r="A24" t="s">
        <v>25</v>
      </c>
      <c r="B24" t="s">
        <v>22</v>
      </c>
      <c r="C24">
        <v>214</v>
      </c>
      <c r="D24">
        <v>13.425262688213911</v>
      </c>
      <c r="E24">
        <v>8.1448598130841123</v>
      </c>
      <c r="F24">
        <v>0.69982349539632682</v>
      </c>
      <c r="G24">
        <v>0.88643396493104731</v>
      </c>
      <c r="H24">
        <v>0.83621913142208348</v>
      </c>
      <c r="I24">
        <v>0.86059467432753833</v>
      </c>
      <c r="J24">
        <v>179</v>
      </c>
      <c r="K24">
        <v>21</v>
      </c>
      <c r="L24">
        <v>0.48965517241379308</v>
      </c>
      <c r="M24" t="s">
        <v>15</v>
      </c>
    </row>
    <row r="25" spans="1:16" x14ac:dyDescent="0.35">
      <c r="A25" t="s">
        <v>26</v>
      </c>
      <c r="B25" t="s">
        <v>22</v>
      </c>
      <c r="C25">
        <v>7</v>
      </c>
      <c r="D25">
        <v>22.945924272486771</v>
      </c>
      <c r="E25">
        <v>8.2857142857142865</v>
      </c>
      <c r="F25">
        <v>0.34784037912814231</v>
      </c>
      <c r="G25">
        <v>0.92452830188679247</v>
      </c>
      <c r="H25">
        <v>0.67441860465116277</v>
      </c>
      <c r="I25">
        <v>0.77991218441273324</v>
      </c>
      <c r="J25">
        <v>102</v>
      </c>
      <c r="K25">
        <v>0</v>
      </c>
      <c r="L25">
        <v>0.69696969696969691</v>
      </c>
      <c r="M25" t="s">
        <v>15</v>
      </c>
    </row>
    <row r="26" spans="1:16" x14ac:dyDescent="0.35">
      <c r="A26" t="s">
        <v>27</v>
      </c>
      <c r="B26" t="s">
        <v>22</v>
      </c>
      <c r="C26">
        <v>52</v>
      </c>
      <c r="D26">
        <v>17.082124955484328</v>
      </c>
      <c r="E26">
        <v>8.9807692307692299</v>
      </c>
      <c r="F26">
        <v>0.61596417212609889</v>
      </c>
      <c r="G26">
        <v>0.89877227664991288</v>
      </c>
      <c r="H26">
        <v>0.69449378330373002</v>
      </c>
      <c r="I26">
        <v>0.78353738202050949</v>
      </c>
      <c r="J26">
        <v>108</v>
      </c>
      <c r="K26">
        <v>1</v>
      </c>
      <c r="L26">
        <v>0.62666666666666671</v>
      </c>
      <c r="M26" t="s">
        <v>15</v>
      </c>
    </row>
    <row r="27" spans="1:16" x14ac:dyDescent="0.35">
      <c r="A27" t="s">
        <v>28</v>
      </c>
      <c r="B27" t="s">
        <v>22</v>
      </c>
      <c r="C27">
        <v>273</v>
      </c>
      <c r="D27">
        <v>13.573800790259121</v>
      </c>
      <c r="E27">
        <v>10.699633699633701</v>
      </c>
      <c r="F27">
        <v>0.71593658515215219</v>
      </c>
      <c r="G27">
        <v>0.76410813104352104</v>
      </c>
      <c r="H27">
        <v>0.45479552539886298</v>
      </c>
      <c r="I27">
        <v>0.57020578629449359</v>
      </c>
      <c r="J27">
        <v>444</v>
      </c>
      <c r="K27">
        <v>128</v>
      </c>
      <c r="L27">
        <v>0.3032258064516129</v>
      </c>
      <c r="M27" t="s">
        <v>15</v>
      </c>
    </row>
    <row r="28" spans="1:16" x14ac:dyDescent="0.35">
      <c r="A28" t="s">
        <v>29</v>
      </c>
      <c r="B28" t="s">
        <v>22</v>
      </c>
      <c r="C28">
        <v>65</v>
      </c>
      <c r="D28">
        <v>13.423029202279199</v>
      </c>
      <c r="E28">
        <v>11.415384615384619</v>
      </c>
      <c r="F28">
        <v>0.78111606817649637</v>
      </c>
      <c r="G28">
        <v>0.94726433750823991</v>
      </c>
      <c r="H28">
        <v>0.52135374697824333</v>
      </c>
      <c r="I28">
        <v>0.67255036139837143</v>
      </c>
      <c r="J28">
        <v>134</v>
      </c>
      <c r="K28">
        <v>0</v>
      </c>
      <c r="L28">
        <v>0.68181818181818177</v>
      </c>
      <c r="M28" t="s">
        <v>15</v>
      </c>
    </row>
    <row r="29" spans="1:16" x14ac:dyDescent="0.35">
      <c r="A29" t="s">
        <v>30</v>
      </c>
      <c r="B29" t="s">
        <v>22</v>
      </c>
      <c r="C29">
        <v>51</v>
      </c>
      <c r="D29">
        <v>41.18768563907043</v>
      </c>
      <c r="E29">
        <v>10.37254901960784</v>
      </c>
      <c r="F29">
        <v>0.68184075777794562</v>
      </c>
      <c r="G29">
        <v>0.91586794462193821</v>
      </c>
      <c r="H29">
        <v>0.80132450331125826</v>
      </c>
      <c r="I29">
        <v>0.85477597657292814</v>
      </c>
      <c r="J29">
        <v>118</v>
      </c>
      <c r="K29">
        <v>0</v>
      </c>
      <c r="L29">
        <v>0.65</v>
      </c>
      <c r="M29" t="s">
        <v>15</v>
      </c>
    </row>
    <row r="30" spans="1:16" x14ac:dyDescent="0.35">
      <c r="A30" t="s">
        <v>31</v>
      </c>
      <c r="B30" t="s">
        <v>22</v>
      </c>
      <c r="C30">
        <v>13</v>
      </c>
      <c r="D30">
        <v>35.707061965811967</v>
      </c>
      <c r="E30">
        <v>7.6923076923076934</v>
      </c>
      <c r="F30">
        <v>0.59058643067825556</v>
      </c>
      <c r="G30">
        <v>0.8936170212765957</v>
      </c>
      <c r="H30">
        <v>0.94230769230769229</v>
      </c>
      <c r="I30">
        <v>0.91731669266770666</v>
      </c>
      <c r="J30">
        <v>60</v>
      </c>
      <c r="K30">
        <v>0</v>
      </c>
      <c r="L30">
        <v>0.7777777777777779</v>
      </c>
      <c r="M30" t="s">
        <v>15</v>
      </c>
    </row>
    <row r="31" spans="1:16" x14ac:dyDescent="0.35">
      <c r="A31" t="s">
        <v>32</v>
      </c>
      <c r="B31" t="s">
        <v>22</v>
      </c>
      <c r="C31">
        <v>22</v>
      </c>
      <c r="D31">
        <v>48.448120265151523</v>
      </c>
      <c r="E31">
        <v>9.3181818181818183</v>
      </c>
      <c r="F31">
        <v>0.57033365669440661</v>
      </c>
      <c r="G31">
        <v>0.82726821309498466</v>
      </c>
      <c r="H31">
        <v>0.76097560975609757</v>
      </c>
      <c r="I31">
        <v>0.79273839927387468</v>
      </c>
      <c r="J31">
        <v>104</v>
      </c>
      <c r="K31">
        <v>11</v>
      </c>
      <c r="L31">
        <v>0.54430379746835433</v>
      </c>
      <c r="M31" t="s">
        <v>15</v>
      </c>
    </row>
    <row r="32" spans="1:16" x14ac:dyDescent="0.35">
      <c r="A32" t="s">
        <v>33</v>
      </c>
      <c r="B32" t="s">
        <v>22</v>
      </c>
      <c r="C32">
        <v>146</v>
      </c>
      <c r="D32">
        <v>37.770824137493662</v>
      </c>
      <c r="E32">
        <v>40.972602739726028</v>
      </c>
      <c r="F32">
        <v>0.74932085736974186</v>
      </c>
      <c r="G32">
        <v>0.93345504715626115</v>
      </c>
      <c r="H32">
        <v>0.21468729266333761</v>
      </c>
      <c r="I32">
        <v>0.3490872689677027</v>
      </c>
      <c r="J32">
        <v>324</v>
      </c>
      <c r="K32">
        <v>61</v>
      </c>
      <c r="L32">
        <v>0.40136054421768708</v>
      </c>
      <c r="M32" t="s">
        <v>15</v>
      </c>
    </row>
    <row r="33" spans="1:16" x14ac:dyDescent="0.35">
      <c r="A33" t="s">
        <v>34</v>
      </c>
      <c r="B33" t="s">
        <v>22</v>
      </c>
      <c r="C33">
        <v>16</v>
      </c>
      <c r="D33">
        <v>13.33416594328704</v>
      </c>
      <c r="E33">
        <v>9.875</v>
      </c>
      <c r="F33">
        <v>0.52755778347261972</v>
      </c>
      <c r="G33">
        <v>0.91853799360758837</v>
      </c>
      <c r="H33">
        <v>0.5</v>
      </c>
      <c r="I33">
        <v>0.64752442144435396</v>
      </c>
      <c r="J33">
        <v>109</v>
      </c>
      <c r="K33">
        <v>4</v>
      </c>
      <c r="L33">
        <v>0.64864864864864868</v>
      </c>
      <c r="M33" t="s">
        <v>15</v>
      </c>
      <c r="N33" t="s">
        <v>35</v>
      </c>
      <c r="O33" t="s">
        <v>37</v>
      </c>
      <c r="P33" s="2" t="s">
        <v>36</v>
      </c>
    </row>
    <row r="34" spans="1:16" x14ac:dyDescent="0.35">
      <c r="A34" t="s">
        <v>20</v>
      </c>
      <c r="B34" t="s">
        <v>22</v>
      </c>
      <c r="C34">
        <v>859</v>
      </c>
      <c r="D34">
        <v>20.789932590113391</v>
      </c>
      <c r="E34">
        <v>15.023282887078</v>
      </c>
      <c r="F34">
        <v>0.79633705402610755</v>
      </c>
      <c r="G34">
        <v>0.95398375277624758</v>
      </c>
      <c r="H34">
        <v>0.41194991850644541</v>
      </c>
      <c r="I34">
        <v>0.57542110202701691</v>
      </c>
      <c r="J34">
        <v>292</v>
      </c>
      <c r="K34">
        <v>6</v>
      </c>
      <c r="L34">
        <v>0.5357142857142857</v>
      </c>
      <c r="M34" t="s">
        <v>15</v>
      </c>
      <c r="N34" s="1">
        <f>AVERAGE(I24:I33)</f>
        <v>0.72282431473802122</v>
      </c>
      <c r="O34" s="1">
        <f>AVERAGE(I24:I28)</f>
        <v>0.7333600776907292</v>
      </c>
      <c r="P34" s="1">
        <f>(C24*I24+C25*I25+C26*I26+C27*I27+C28*I28+C29*I29+C30*I30+C31*I31+C32*I32+C33*I33)/C34</f>
        <v>0.656622364630569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commit_categories</vt:lpstr>
      <vt:lpstr>anomaly_normal</vt:lpstr>
      <vt:lpstr>anomaly_categories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Choopannezhad Mahsa</cp:lastModifiedBy>
  <dcterms:created xsi:type="dcterms:W3CDTF">2026-08-25T15:37:10Z</dcterms:created>
  <dcterms:modified xsi:type="dcterms:W3CDTF">2026-08-25T16:00:28Z</dcterms:modified>
</cp:coreProperties>
</file>