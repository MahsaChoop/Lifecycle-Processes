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compare/"/>
    </mc:Choice>
  </mc:AlternateContent>
  <xr:revisionPtr revIDLastSave="6" documentId="8_{FB6ABDC3-565B-4E76-AAEA-DF95D21D7E46}" xr6:coauthVersionLast="47" xr6:coauthVersionMax="47" xr10:uidLastSave="{87F1C897-F1EA-4DFF-85E0-A160B1D75A64}"/>
  <bookViews>
    <workbookView xWindow="-110" yWindow="-110" windowWidth="19420" windowHeight="11500" xr2:uid="{D91BF3F4-C40A-4697-BB76-36024B251428}"/>
  </bookViews>
  <sheets>
    <sheet name="consolidated_results_table_an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O23" i="1"/>
  <c r="O12" i="1"/>
  <c r="P34" i="1"/>
  <c r="P23" i="1"/>
  <c r="P12" i="1"/>
  <c r="N34" i="1"/>
  <c r="N23" i="1"/>
  <c r="N12" i="1"/>
</calcChain>
</file>

<file path=xl/sharedStrings.xml><?xml version="1.0" encoding="utf-8"?>
<sst xmlns="http://schemas.openxmlformats.org/spreadsheetml/2006/main" count="121" uniqueCount="31">
  <si>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</si>
  <si>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</si>
  <si>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</si>
  <si>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</si>
  <si>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</si>
  <si>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</si>
  <si>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</si>
  <si>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</si>
  <si>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</si>
  <si>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</si>
  <si>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</si>
  <si>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</si>
  <si>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</si>
  <si>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anomaly_bug_fixes</t>
  </si>
  <si>
    <t>heuristics_dep_0.5</t>
  </si>
  <si>
    <t>ok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</si>
  <si>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</si>
  <si>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</si>
  <si>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</si>
  <si>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</si>
  <si>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</si>
  <si>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</si>
  <si>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</si>
  <si>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</si>
  <si>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</si>
  <si>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whole</t>
  </si>
  <si>
    <t>inductive_IMf_noise_0.2</t>
  </si>
  <si>
    <t>split_miner_eps_0.2_eta_0.5</t>
  </si>
  <si>
    <t>average</t>
  </si>
  <si>
    <t>anomaly average</t>
  </si>
  <si>
    <t>wighted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</si>
</sst>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28AB-8BBB-40C8-9968-F0A705D84DF4}">
  <dimension ref="A1:P34"/>
  <sheetViews>
    <sheetView tabSelected="1" topLeftCell="A13" workbookViewId="0">
      <selection activeCell="N11" sqref="N11:P34"/>
    </sheetView>
  </sheetViews>
  <sheetFormatPr defaultRowHeight="14.5" x14ac:dyDescent="0.35"/>
  <cols>
    <col min="1" max="1" width="19.08984375" bestFit="1" customWidth="1"/>
    <col min="2" max="2" width="24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 t="s">
        <v>13</v>
      </c>
      <c r="B2" t="s">
        <v>14</v>
      </c>
      <c r="C2">
        <v>18</v>
      </c>
      <c r="D2">
        <v>56.707569444444403</v>
      </c>
      <c r="E2">
        <v>11.0555555555555</v>
      </c>
      <c r="F2">
        <v>0.358409665821039</v>
      </c>
      <c r="G2">
        <v>0.87756291659274599</v>
      </c>
      <c r="H2">
        <v>0.30065359477124098</v>
      </c>
      <c r="I2">
        <v>0.44786750646721402</v>
      </c>
      <c r="J2">
        <v>270</v>
      </c>
      <c r="K2">
        <v>12</v>
      </c>
      <c r="L2">
        <v>0.52380952380952295</v>
      </c>
      <c r="M2" t="s">
        <v>15</v>
      </c>
    </row>
    <row r="3" spans="1:16" x14ac:dyDescent="0.35">
      <c r="A3" t="s">
        <v>16</v>
      </c>
      <c r="B3" t="s">
        <v>14</v>
      </c>
      <c r="C3">
        <v>29</v>
      </c>
      <c r="D3">
        <v>15.316706178160899</v>
      </c>
      <c r="E3">
        <v>12.7241379310344</v>
      </c>
      <c r="F3">
        <v>0.46640341199730501</v>
      </c>
      <c r="G3">
        <v>0.87662960500740805</v>
      </c>
      <c r="H3">
        <v>0.35115303983228502</v>
      </c>
      <c r="I3">
        <v>0.50144242044652598</v>
      </c>
      <c r="J3">
        <v>257</v>
      </c>
      <c r="K3">
        <v>17</v>
      </c>
      <c r="L3">
        <v>0.51485148514851398</v>
      </c>
      <c r="M3" t="s">
        <v>15</v>
      </c>
    </row>
    <row r="4" spans="1:16" x14ac:dyDescent="0.35">
      <c r="A4" t="s">
        <v>17</v>
      </c>
      <c r="B4" t="s">
        <v>14</v>
      </c>
      <c r="C4">
        <v>11</v>
      </c>
      <c r="D4">
        <v>113.360295664983</v>
      </c>
      <c r="E4">
        <v>11.363636363636299</v>
      </c>
      <c r="F4">
        <v>0.30494764011410902</v>
      </c>
      <c r="G4">
        <v>0.926884628768466</v>
      </c>
      <c r="H4">
        <v>0.35251798561150999</v>
      </c>
      <c r="I4">
        <v>0.51077510481105104</v>
      </c>
      <c r="J4">
        <v>239</v>
      </c>
      <c r="K4">
        <v>6</v>
      </c>
      <c r="L4">
        <v>0.54696132596684999</v>
      </c>
      <c r="M4" t="s">
        <v>15</v>
      </c>
    </row>
    <row r="5" spans="1:16" x14ac:dyDescent="0.35">
      <c r="A5" t="s">
        <v>18</v>
      </c>
      <c r="B5" t="s">
        <v>14</v>
      </c>
      <c r="C5">
        <v>136</v>
      </c>
      <c r="D5">
        <v>116.363365162037</v>
      </c>
      <c r="E5">
        <v>10.639705882352899</v>
      </c>
      <c r="F5">
        <v>0.51219709959051696</v>
      </c>
      <c r="G5">
        <v>0.88869919752389204</v>
      </c>
      <c r="H5">
        <v>0.46993445426047298</v>
      </c>
      <c r="I5">
        <v>0.61477996197372897</v>
      </c>
      <c r="J5">
        <v>495</v>
      </c>
      <c r="K5">
        <v>32</v>
      </c>
      <c r="L5">
        <v>0.452380952380952</v>
      </c>
      <c r="M5" t="s">
        <v>15</v>
      </c>
    </row>
    <row r="6" spans="1:16" x14ac:dyDescent="0.35">
      <c r="A6" t="s">
        <v>19</v>
      </c>
      <c r="B6" t="s">
        <v>14</v>
      </c>
      <c r="C6">
        <v>92</v>
      </c>
      <c r="D6">
        <v>13.445986941425099</v>
      </c>
      <c r="E6">
        <v>14.293478260869501</v>
      </c>
      <c r="F6">
        <v>0.47983393791934598</v>
      </c>
      <c r="G6">
        <v>0.79880416898043705</v>
      </c>
      <c r="H6">
        <v>0.64830841856805599</v>
      </c>
      <c r="I6">
        <v>0.71573072059940701</v>
      </c>
      <c r="J6">
        <v>615</v>
      </c>
      <c r="K6">
        <v>49</v>
      </c>
      <c r="L6">
        <v>0.45210727969348602</v>
      </c>
      <c r="M6" t="s">
        <v>15</v>
      </c>
    </row>
    <row r="7" spans="1:16" x14ac:dyDescent="0.35">
      <c r="A7" t="s">
        <v>20</v>
      </c>
      <c r="B7" t="s">
        <v>14</v>
      </c>
      <c r="C7">
        <v>60</v>
      </c>
      <c r="D7">
        <v>25.061394097222198</v>
      </c>
      <c r="E7">
        <v>14.0833333333333</v>
      </c>
      <c r="F7">
        <v>0.45153249617216901</v>
      </c>
      <c r="G7">
        <v>0.84959776799821995</v>
      </c>
      <c r="H7">
        <v>0.50604351329572905</v>
      </c>
      <c r="I7">
        <v>0.63428791279601704</v>
      </c>
      <c r="J7">
        <v>432</v>
      </c>
      <c r="K7">
        <v>22</v>
      </c>
      <c r="L7">
        <v>0.47338935574229601</v>
      </c>
      <c r="M7" t="s">
        <v>15</v>
      </c>
    </row>
    <row r="8" spans="1:16" x14ac:dyDescent="0.35">
      <c r="A8" t="s">
        <v>21</v>
      </c>
      <c r="B8" t="s">
        <v>14</v>
      </c>
      <c r="C8">
        <v>92</v>
      </c>
      <c r="D8">
        <v>5.65407218699678</v>
      </c>
      <c r="E8">
        <v>11.369565217391299</v>
      </c>
      <c r="F8">
        <v>0.45037860846724398</v>
      </c>
      <c r="G8">
        <v>0.87135271499196298</v>
      </c>
      <c r="H8">
        <v>0.37148876404494302</v>
      </c>
      <c r="I8">
        <v>0.52089948492933702</v>
      </c>
      <c r="J8">
        <v>365</v>
      </c>
      <c r="K8">
        <v>15</v>
      </c>
      <c r="L8">
        <v>0.508650519031141</v>
      </c>
      <c r="M8" t="s">
        <v>15</v>
      </c>
    </row>
    <row r="9" spans="1:16" x14ac:dyDescent="0.35">
      <c r="A9" t="s">
        <v>22</v>
      </c>
      <c r="B9" t="s">
        <v>14</v>
      </c>
      <c r="C9">
        <v>16</v>
      </c>
      <c r="D9">
        <v>200.705201822916</v>
      </c>
      <c r="E9">
        <v>17.125</v>
      </c>
      <c r="F9">
        <v>0.41406210017426698</v>
      </c>
      <c r="G9">
        <v>0.91988649071796003</v>
      </c>
      <c r="H9">
        <v>0.38820638820638798</v>
      </c>
      <c r="I9">
        <v>0.54599458169227</v>
      </c>
      <c r="J9">
        <v>263</v>
      </c>
      <c r="K9">
        <v>9</v>
      </c>
      <c r="L9">
        <v>0.474654377880184</v>
      </c>
      <c r="M9" t="s">
        <v>15</v>
      </c>
    </row>
    <row r="10" spans="1:16" x14ac:dyDescent="0.35">
      <c r="A10" t="s">
        <v>23</v>
      </c>
      <c r="B10" t="s">
        <v>14</v>
      </c>
      <c r="C10">
        <v>320</v>
      </c>
      <c r="D10">
        <v>77.522822084780003</v>
      </c>
      <c r="E10">
        <v>12.728125</v>
      </c>
      <c r="F10">
        <v>0.469932030492831</v>
      </c>
      <c r="G10">
        <v>0.88026336046927001</v>
      </c>
      <c r="H10">
        <v>0.41393680945919697</v>
      </c>
      <c r="I10">
        <v>0.563086631238227</v>
      </c>
      <c r="J10">
        <v>925</v>
      </c>
      <c r="K10">
        <v>64</v>
      </c>
      <c r="L10">
        <v>0.42331288343558199</v>
      </c>
      <c r="M10" t="s">
        <v>15</v>
      </c>
    </row>
    <row r="11" spans="1:16" x14ac:dyDescent="0.35">
      <c r="A11" t="s">
        <v>24</v>
      </c>
      <c r="B11" t="s">
        <v>14</v>
      </c>
      <c r="C11">
        <v>461</v>
      </c>
      <c r="D11">
        <v>9.0742485136980804</v>
      </c>
      <c r="E11">
        <v>11.731019522776499</v>
      </c>
      <c r="F11">
        <v>0.50117003019860296</v>
      </c>
      <c r="G11">
        <v>0.840058644435142</v>
      </c>
      <c r="H11">
        <v>0.384980189698643</v>
      </c>
      <c r="I11">
        <v>0.52799295382550604</v>
      </c>
      <c r="J11">
        <v>573</v>
      </c>
      <c r="K11">
        <v>37</v>
      </c>
      <c r="L11">
        <v>0.43838383838383799</v>
      </c>
      <c r="M11" t="s">
        <v>15</v>
      </c>
      <c r="N11" t="s">
        <v>28</v>
      </c>
      <c r="O11" t="s">
        <v>29</v>
      </c>
      <c r="P11" t="s">
        <v>30</v>
      </c>
    </row>
    <row r="12" spans="1:16" x14ac:dyDescent="0.35">
      <c r="A12" t="s">
        <v>25</v>
      </c>
      <c r="B12" t="s">
        <v>14</v>
      </c>
      <c r="C12">
        <v>1235</v>
      </c>
      <c r="D12">
        <v>43.724700882816002</v>
      </c>
      <c r="E12">
        <v>12.2275303643724</v>
      </c>
      <c r="F12">
        <v>0.53865107412077395</v>
      </c>
      <c r="G12">
        <v>0.86754457057099399</v>
      </c>
      <c r="H12">
        <v>0.38767862921769303</v>
      </c>
      <c r="I12">
        <v>0.53588635066788903</v>
      </c>
      <c r="J12">
        <v>1126</v>
      </c>
      <c r="K12">
        <v>73</v>
      </c>
      <c r="L12">
        <v>0.42110552763818998</v>
      </c>
      <c r="M12" t="s">
        <v>15</v>
      </c>
      <c r="N12" s="1">
        <f>AVERAGE(I2:I11)</f>
        <v>0.55828572787792852</v>
      </c>
      <c r="O12" s="1">
        <f>AVERAGE(I2:I6)</f>
        <v>0.55811914285958542</v>
      </c>
      <c r="P12" s="1">
        <f>(C2*I2+C3*I3+C4*I4+C5*I5+C6*I6+C7*I7+C8*I8+C9*I9+C10*I10+C11*I11)/C12</f>
        <v>0.56355278298298017</v>
      </c>
    </row>
    <row r="13" spans="1:16" x14ac:dyDescent="0.35">
      <c r="A13" t="s">
        <v>13</v>
      </c>
      <c r="B13" t="s">
        <v>26</v>
      </c>
      <c r="C13">
        <v>18</v>
      </c>
      <c r="D13">
        <v>56.707569444444403</v>
      </c>
      <c r="E13">
        <v>11.0555555555555</v>
      </c>
      <c r="F13">
        <v>0.65782851178037405</v>
      </c>
      <c r="G13">
        <v>0.97593465103807497</v>
      </c>
      <c r="H13">
        <v>0.237237237237237</v>
      </c>
      <c r="I13">
        <v>0.381690414316323</v>
      </c>
      <c r="J13">
        <v>112</v>
      </c>
      <c r="K13">
        <v>1</v>
      </c>
      <c r="L13">
        <v>0.67567567567567499</v>
      </c>
      <c r="M13" t="s">
        <v>15</v>
      </c>
    </row>
    <row r="14" spans="1:16" x14ac:dyDescent="0.35">
      <c r="A14" t="s">
        <v>16</v>
      </c>
      <c r="B14" t="s">
        <v>26</v>
      </c>
      <c r="C14">
        <v>29</v>
      </c>
      <c r="D14">
        <v>15.316706178160899</v>
      </c>
      <c r="E14">
        <v>12.7241379310344</v>
      </c>
      <c r="F14">
        <v>0.748887880301499</v>
      </c>
      <c r="G14">
        <v>0.94170569581130303</v>
      </c>
      <c r="H14">
        <v>0.28180574555403498</v>
      </c>
      <c r="I14">
        <v>0.43379745661298502</v>
      </c>
      <c r="J14">
        <v>129</v>
      </c>
      <c r="K14">
        <v>5</v>
      </c>
      <c r="L14">
        <v>0.65517241379310298</v>
      </c>
      <c r="M14" t="s">
        <v>15</v>
      </c>
    </row>
    <row r="15" spans="1:16" x14ac:dyDescent="0.35">
      <c r="A15" t="s">
        <v>17</v>
      </c>
      <c r="B15" t="s">
        <v>26</v>
      </c>
      <c r="C15">
        <v>11</v>
      </c>
      <c r="D15">
        <v>113.360295664983</v>
      </c>
      <c r="E15">
        <v>11.363636363636299</v>
      </c>
      <c r="F15">
        <v>0.425077684309697</v>
      </c>
      <c r="G15">
        <v>0.96869391824526396</v>
      </c>
      <c r="H15">
        <v>0.20187165775401</v>
      </c>
      <c r="I15">
        <v>0.33411515107210099</v>
      </c>
      <c r="J15">
        <v>215</v>
      </c>
      <c r="K15">
        <v>6</v>
      </c>
      <c r="L15">
        <v>0.65517241379310298</v>
      </c>
      <c r="M15" t="s">
        <v>15</v>
      </c>
    </row>
    <row r="16" spans="1:16" x14ac:dyDescent="0.35">
      <c r="A16" t="s">
        <v>18</v>
      </c>
      <c r="B16" t="s">
        <v>26</v>
      </c>
      <c r="C16">
        <v>136</v>
      </c>
      <c r="D16">
        <v>116.363365162037</v>
      </c>
      <c r="E16">
        <v>10.639705882352899</v>
      </c>
      <c r="F16">
        <v>0.72231640624919402</v>
      </c>
      <c r="G16">
        <v>0.95453811017566004</v>
      </c>
      <c r="H16">
        <v>0.37599565532223</v>
      </c>
      <c r="I16">
        <v>0.53948601917853301</v>
      </c>
      <c r="J16">
        <v>289</v>
      </c>
      <c r="K16">
        <v>7</v>
      </c>
      <c r="L16">
        <v>0.64467005076142103</v>
      </c>
      <c r="M16" t="s">
        <v>15</v>
      </c>
    </row>
    <row r="17" spans="1:16" x14ac:dyDescent="0.35">
      <c r="A17" t="s">
        <v>19</v>
      </c>
      <c r="B17" t="s">
        <v>26</v>
      </c>
      <c r="C17">
        <v>92</v>
      </c>
      <c r="D17">
        <v>13.445986941425099</v>
      </c>
      <c r="E17">
        <v>14.293478260869501</v>
      </c>
      <c r="F17">
        <v>0.80038326706546203</v>
      </c>
      <c r="G17">
        <v>0.98488015887485603</v>
      </c>
      <c r="H17">
        <v>0.158923834785903</v>
      </c>
      <c r="I17">
        <v>0.27368488398435198</v>
      </c>
      <c r="J17">
        <v>187</v>
      </c>
      <c r="K17">
        <v>2</v>
      </c>
      <c r="L17">
        <v>0.61832061068702204</v>
      </c>
      <c r="M17" t="s">
        <v>15</v>
      </c>
    </row>
    <row r="18" spans="1:16" x14ac:dyDescent="0.35">
      <c r="A18" t="s">
        <v>20</v>
      </c>
      <c r="B18" t="s">
        <v>26</v>
      </c>
      <c r="C18">
        <v>60</v>
      </c>
      <c r="D18">
        <v>25.061394097222198</v>
      </c>
      <c r="E18">
        <v>14.0833333333333</v>
      </c>
      <c r="F18">
        <v>0.77482796774077101</v>
      </c>
      <c r="G18">
        <v>0.95474317809133802</v>
      </c>
      <c r="H18">
        <v>0.34554569996143403</v>
      </c>
      <c r="I18">
        <v>0.50743708621275496</v>
      </c>
      <c r="J18">
        <v>211</v>
      </c>
      <c r="K18">
        <v>6</v>
      </c>
      <c r="L18">
        <v>0.65034965034964998</v>
      </c>
      <c r="M18" t="s">
        <v>15</v>
      </c>
    </row>
    <row r="19" spans="1:16" x14ac:dyDescent="0.35">
      <c r="A19" t="s">
        <v>21</v>
      </c>
      <c r="B19" t="s">
        <v>26</v>
      </c>
      <c r="C19">
        <v>92</v>
      </c>
      <c r="D19">
        <v>5.65407218699678</v>
      </c>
      <c r="E19">
        <v>11.369565217391299</v>
      </c>
      <c r="F19">
        <v>0.75808079406963602</v>
      </c>
      <c r="G19">
        <v>0.96003881955970205</v>
      </c>
      <c r="H19">
        <v>0.387272232798477</v>
      </c>
      <c r="I19">
        <v>0.55190874679362301</v>
      </c>
      <c r="J19">
        <v>168</v>
      </c>
      <c r="K19">
        <v>4</v>
      </c>
      <c r="L19">
        <v>0.64912280701754399</v>
      </c>
      <c r="M19" t="s">
        <v>15</v>
      </c>
    </row>
    <row r="20" spans="1:16" x14ac:dyDescent="0.35">
      <c r="A20" t="s">
        <v>22</v>
      </c>
      <c r="B20" t="s">
        <v>26</v>
      </c>
      <c r="C20">
        <v>16</v>
      </c>
      <c r="D20">
        <v>200.705201822916</v>
      </c>
      <c r="E20">
        <v>17.125</v>
      </c>
      <c r="F20">
        <v>0.71989935558892804</v>
      </c>
      <c r="G20">
        <v>0.98981261701374001</v>
      </c>
      <c r="H20">
        <v>0.158895705521472</v>
      </c>
      <c r="I20">
        <v>0.27383274070364699</v>
      </c>
      <c r="J20">
        <v>143</v>
      </c>
      <c r="K20">
        <v>2</v>
      </c>
      <c r="L20">
        <v>0.64948453608247403</v>
      </c>
      <c r="M20" t="s">
        <v>15</v>
      </c>
    </row>
    <row r="21" spans="1:16" x14ac:dyDescent="0.35">
      <c r="A21" t="s">
        <v>23</v>
      </c>
      <c r="B21" t="s">
        <v>26</v>
      </c>
      <c r="C21">
        <v>320</v>
      </c>
      <c r="D21">
        <v>77.522822084780003</v>
      </c>
      <c r="E21">
        <v>12.728125</v>
      </c>
      <c r="F21">
        <v>0.81537612896894895</v>
      </c>
      <c r="G21">
        <v>0.96528021197594704</v>
      </c>
      <c r="H21">
        <v>0.33721716514954397</v>
      </c>
      <c r="I21">
        <v>0.499822974501266</v>
      </c>
      <c r="J21">
        <v>378</v>
      </c>
      <c r="K21">
        <v>9</v>
      </c>
      <c r="L21">
        <v>0.64341085271317799</v>
      </c>
      <c r="M21" t="s">
        <v>15</v>
      </c>
    </row>
    <row r="22" spans="1:16" x14ac:dyDescent="0.35">
      <c r="A22" t="s">
        <v>24</v>
      </c>
      <c r="B22" t="s">
        <v>26</v>
      </c>
      <c r="C22">
        <v>461</v>
      </c>
      <c r="D22">
        <v>9.0742485136980804</v>
      </c>
      <c r="E22">
        <v>11.731019522776499</v>
      </c>
      <c r="F22">
        <v>0.86394276852054297</v>
      </c>
      <c r="G22">
        <v>0.95735328182697599</v>
      </c>
      <c r="H22">
        <v>0.350482452395184</v>
      </c>
      <c r="I22">
        <v>0.51311570290263897</v>
      </c>
      <c r="J22">
        <v>172</v>
      </c>
      <c r="K22">
        <v>5</v>
      </c>
      <c r="L22">
        <v>0.65517241379310298</v>
      </c>
      <c r="M22" t="s">
        <v>15</v>
      </c>
      <c r="N22" t="s">
        <v>28</v>
      </c>
      <c r="O22" t="s">
        <v>29</v>
      </c>
      <c r="P22" t="s">
        <v>30</v>
      </c>
    </row>
    <row r="23" spans="1:16" x14ac:dyDescent="0.35">
      <c r="A23" t="s">
        <v>25</v>
      </c>
      <c r="B23" t="s">
        <v>26</v>
      </c>
      <c r="C23">
        <v>1235</v>
      </c>
      <c r="D23">
        <v>43.724700882816002</v>
      </c>
      <c r="E23">
        <v>12.2275303643724</v>
      </c>
      <c r="F23">
        <v>0.87552962404895096</v>
      </c>
      <c r="G23">
        <v>0.95314086808346499</v>
      </c>
      <c r="H23">
        <v>0.29195404232412597</v>
      </c>
      <c r="I23">
        <v>0.44699135305307602</v>
      </c>
      <c r="J23">
        <v>420</v>
      </c>
      <c r="K23">
        <v>11</v>
      </c>
      <c r="L23">
        <v>0.63888888888888895</v>
      </c>
      <c r="M23" t="s">
        <v>15</v>
      </c>
      <c r="N23">
        <f>AVERAGE(I13:I22)</f>
        <v>0.43088911762782239</v>
      </c>
      <c r="O23">
        <f>AVERAGE(I13:I17)</f>
        <v>0.39255478503285884</v>
      </c>
      <c r="P23" s="1">
        <f>(C13*I13+C14*I14+C15*I15+C16*I16+C17*I17+C18*I18+C19*I19+C20*I20+C21*I21+C22*I22)/C23</f>
        <v>0.48888078777624527</v>
      </c>
    </row>
    <row r="24" spans="1:16" x14ac:dyDescent="0.35">
      <c r="A24" t="s">
        <v>13</v>
      </c>
      <c r="B24" t="s">
        <v>27</v>
      </c>
      <c r="C24">
        <v>18</v>
      </c>
      <c r="D24">
        <v>56.707569444444403</v>
      </c>
      <c r="E24">
        <v>11.0555555555555</v>
      </c>
      <c r="F24">
        <v>0.52600915980214502</v>
      </c>
      <c r="G24">
        <v>0.90186564144071202</v>
      </c>
      <c r="H24">
        <v>0.51153846153846105</v>
      </c>
      <c r="I24">
        <v>0.652805466978013</v>
      </c>
      <c r="J24">
        <v>149</v>
      </c>
      <c r="K24">
        <v>1</v>
      </c>
      <c r="L24">
        <v>0.66</v>
      </c>
      <c r="M24" t="s">
        <v>15</v>
      </c>
    </row>
    <row r="25" spans="1:16" x14ac:dyDescent="0.35">
      <c r="A25" t="s">
        <v>16</v>
      </c>
      <c r="B25" t="s">
        <v>27</v>
      </c>
      <c r="C25">
        <v>29</v>
      </c>
      <c r="D25">
        <v>15.316706178160899</v>
      </c>
      <c r="E25">
        <v>12.7241379310344</v>
      </c>
      <c r="F25">
        <v>0.622370776867752</v>
      </c>
      <c r="G25">
        <v>0.88507437588927695</v>
      </c>
      <c r="H25">
        <v>0.5</v>
      </c>
      <c r="I25">
        <v>0.639008555277778</v>
      </c>
      <c r="J25">
        <v>179</v>
      </c>
      <c r="K25">
        <v>10</v>
      </c>
      <c r="L25">
        <v>0.56390977443609003</v>
      </c>
      <c r="M25" t="s">
        <v>15</v>
      </c>
    </row>
    <row r="26" spans="1:16" x14ac:dyDescent="0.35">
      <c r="A26" t="s">
        <v>17</v>
      </c>
      <c r="B26" t="s">
        <v>27</v>
      </c>
      <c r="C26">
        <v>11</v>
      </c>
      <c r="D26">
        <v>113.360295664983</v>
      </c>
      <c r="E26">
        <v>11.363636363636299</v>
      </c>
      <c r="F26">
        <v>0.43091097088715202</v>
      </c>
      <c r="G26">
        <v>0.92173913043478195</v>
      </c>
      <c r="H26">
        <v>0.57419354838709602</v>
      </c>
      <c r="I26">
        <v>0.70759422463903898</v>
      </c>
      <c r="J26">
        <v>143</v>
      </c>
      <c r="K26">
        <v>0</v>
      </c>
      <c r="L26">
        <v>0.64948453608247403</v>
      </c>
      <c r="M26" t="s">
        <v>15</v>
      </c>
    </row>
    <row r="27" spans="1:16" x14ac:dyDescent="0.35">
      <c r="A27" t="s">
        <v>18</v>
      </c>
      <c r="B27" t="s">
        <v>27</v>
      </c>
      <c r="C27">
        <v>136</v>
      </c>
      <c r="D27">
        <v>116.363365162037</v>
      </c>
      <c r="E27">
        <v>10.639705882352899</v>
      </c>
      <c r="F27">
        <v>0.67479158603893397</v>
      </c>
      <c r="G27">
        <v>0.78585891335035296</v>
      </c>
      <c r="H27">
        <v>0.72465208747514898</v>
      </c>
      <c r="I27">
        <v>0.75401543147857197</v>
      </c>
      <c r="J27">
        <v>284</v>
      </c>
      <c r="K27">
        <v>24</v>
      </c>
      <c r="L27">
        <v>0.527272727272727</v>
      </c>
      <c r="M27" t="s">
        <v>15</v>
      </c>
    </row>
    <row r="28" spans="1:16" x14ac:dyDescent="0.35">
      <c r="A28" t="s">
        <v>19</v>
      </c>
      <c r="B28" t="s">
        <v>27</v>
      </c>
      <c r="C28">
        <v>92</v>
      </c>
      <c r="D28">
        <v>13.445986941425099</v>
      </c>
      <c r="E28">
        <v>14.293478260869501</v>
      </c>
      <c r="F28">
        <v>0.74736400680995996</v>
      </c>
      <c r="G28">
        <v>0.90912812116250497</v>
      </c>
      <c r="H28">
        <v>0.65579710144927505</v>
      </c>
      <c r="I28">
        <v>0.76195792372668503</v>
      </c>
      <c r="J28">
        <v>195</v>
      </c>
      <c r="K28">
        <v>0</v>
      </c>
      <c r="L28">
        <v>0.62962962962962898</v>
      </c>
      <c r="M28" t="s">
        <v>15</v>
      </c>
    </row>
    <row r="29" spans="1:16" x14ac:dyDescent="0.35">
      <c r="A29" t="s">
        <v>20</v>
      </c>
      <c r="B29" t="s">
        <v>27</v>
      </c>
      <c r="C29">
        <v>60</v>
      </c>
      <c r="D29">
        <v>25.061394097222198</v>
      </c>
      <c r="E29">
        <v>14.0833333333333</v>
      </c>
      <c r="F29">
        <v>0.61043830366893204</v>
      </c>
      <c r="G29">
        <v>0.83540602340546799</v>
      </c>
      <c r="H29">
        <v>0.39849624060150302</v>
      </c>
      <c r="I29">
        <v>0.53959891218912603</v>
      </c>
      <c r="J29">
        <v>290</v>
      </c>
      <c r="K29">
        <v>25</v>
      </c>
      <c r="L29">
        <v>0.510917030567685</v>
      </c>
      <c r="M29" t="s">
        <v>15</v>
      </c>
    </row>
    <row r="30" spans="1:16" x14ac:dyDescent="0.35">
      <c r="A30" t="s">
        <v>21</v>
      </c>
      <c r="B30" t="s">
        <v>27</v>
      </c>
      <c r="C30">
        <v>92</v>
      </c>
      <c r="D30">
        <v>5.65407218699678</v>
      </c>
      <c r="E30">
        <v>11.369565217391299</v>
      </c>
      <c r="F30">
        <v>0.57815903033416505</v>
      </c>
      <c r="G30">
        <v>0.92551793549460304</v>
      </c>
      <c r="H30">
        <v>0.42929151498179702</v>
      </c>
      <c r="I30">
        <v>0.58652823322363501</v>
      </c>
      <c r="J30">
        <v>253</v>
      </c>
      <c r="K30">
        <v>18</v>
      </c>
      <c r="L30">
        <v>0.485436893203883</v>
      </c>
      <c r="M30" t="s">
        <v>15</v>
      </c>
    </row>
    <row r="31" spans="1:16" x14ac:dyDescent="0.35">
      <c r="A31" t="s">
        <v>22</v>
      </c>
      <c r="B31" t="s">
        <v>27</v>
      </c>
      <c r="C31">
        <v>16</v>
      </c>
      <c r="D31">
        <v>200.705201822916</v>
      </c>
      <c r="E31">
        <v>17.125</v>
      </c>
      <c r="F31">
        <v>0.56656858203802696</v>
      </c>
      <c r="G31">
        <v>0.81382096359224398</v>
      </c>
      <c r="H31">
        <v>0.64233576642335699</v>
      </c>
      <c r="I31">
        <v>0.71798083489930198</v>
      </c>
      <c r="J31">
        <v>220</v>
      </c>
      <c r="K31">
        <v>27</v>
      </c>
      <c r="L31">
        <v>0.486033519553072</v>
      </c>
      <c r="M31" t="s">
        <v>15</v>
      </c>
    </row>
    <row r="32" spans="1:16" x14ac:dyDescent="0.35">
      <c r="A32" t="s">
        <v>23</v>
      </c>
      <c r="B32" t="s">
        <v>27</v>
      </c>
      <c r="C32">
        <v>320</v>
      </c>
      <c r="D32">
        <v>77.522822084780003</v>
      </c>
      <c r="E32">
        <v>12.728125</v>
      </c>
      <c r="F32">
        <v>0.64883980853045298</v>
      </c>
      <c r="G32">
        <v>0.73259957676728604</v>
      </c>
      <c r="H32">
        <v>0.45972602739725998</v>
      </c>
      <c r="I32">
        <v>0.56493812080153805</v>
      </c>
      <c r="J32">
        <v>673</v>
      </c>
      <c r="K32">
        <v>130</v>
      </c>
      <c r="L32">
        <v>0.37322834645669201</v>
      </c>
      <c r="M32" t="s">
        <v>15</v>
      </c>
    </row>
    <row r="33" spans="1:16" x14ac:dyDescent="0.35">
      <c r="A33" t="s">
        <v>24</v>
      </c>
      <c r="B33" t="s">
        <v>27</v>
      </c>
      <c r="C33">
        <v>461</v>
      </c>
      <c r="D33">
        <v>9.0742485136980804</v>
      </c>
      <c r="E33">
        <v>11.731019522776499</v>
      </c>
      <c r="F33">
        <v>0.74667168240006798</v>
      </c>
      <c r="G33">
        <v>0.93918480857071496</v>
      </c>
      <c r="H33">
        <v>0.492232784604683</v>
      </c>
      <c r="I33">
        <v>0.64592967948037805</v>
      </c>
      <c r="J33">
        <v>271</v>
      </c>
      <c r="K33">
        <v>11</v>
      </c>
      <c r="L33">
        <v>0.53110047846889896</v>
      </c>
      <c r="M33" t="s">
        <v>15</v>
      </c>
      <c r="N33" t="s">
        <v>28</v>
      </c>
      <c r="O33" t="s">
        <v>29</v>
      </c>
      <c r="P33" t="s">
        <v>30</v>
      </c>
    </row>
    <row r="34" spans="1:16" x14ac:dyDescent="0.35">
      <c r="A34" t="s">
        <v>25</v>
      </c>
      <c r="B34" t="s">
        <v>27</v>
      </c>
      <c r="C34">
        <v>1235</v>
      </c>
      <c r="D34">
        <v>43.724700882816002</v>
      </c>
      <c r="E34">
        <v>12.2275303643724</v>
      </c>
      <c r="F34">
        <v>0.74146589954514597</v>
      </c>
      <c r="G34">
        <v>0.72584380686139305</v>
      </c>
      <c r="H34">
        <v>0.324318849387217</v>
      </c>
      <c r="I34">
        <v>0.44832069941819702</v>
      </c>
      <c r="J34">
        <v>675</v>
      </c>
      <c r="K34">
        <v>118</v>
      </c>
      <c r="L34">
        <v>0.39482200647249099</v>
      </c>
      <c r="M34" t="s">
        <v>15</v>
      </c>
      <c r="N34" s="1">
        <f>AVERAGE(I24:I33)</f>
        <v>0.65703573826940675</v>
      </c>
      <c r="O34" s="1">
        <f>AVERAGE(I24:I28)</f>
        <v>0.70307632042001744</v>
      </c>
      <c r="P34" s="1">
        <f>(C24*I24+C25*I25+C26*I26+C27*I27+C28*I28+C29*I29+C30*I30+C31*I31+C32*I32+C33*I33)/C34</f>
        <v>0.63731944703391685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consolidated_results_table_anom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2026-08-24T08:55:46Z</dcterms:created>
  <dcterms:modified xsi:type="dcterms:W3CDTF">2026-08-27T14:20:07Z</dcterms:modified>
</cp:coreProperties>
</file>