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usfl-my.sharepoint.com/personal/mahsa_choopannezhad_uni_li/Documents/Desktop/PhD materials/codes/Lifecycles-Processes/results/tables/commitizen/compare/"/>
    </mc:Choice>
  </mc:AlternateContent>
  <xr:revisionPtr revIDLastSave="0" documentId="8_{37D80645-00BF-49E8-8057-AE451678EA9E}" xr6:coauthVersionLast="47" xr6:coauthVersionMax="47" xr10:uidLastSave="{00000000-0000-0000-0000-000000000000}"/>
  <bookViews>
    <workbookView xWindow="-28920" yWindow="-120" windowWidth="29040" windowHeight="15720" xr2:uid="{F3D8CC40-19E9-4FB3-8EF6-9AC494323550}"/>
  </bookViews>
  <sheets>
    <sheet name="consolidated_results_table_anom" sheetId="1" r:id="rId1"/>
  </sheets>
  <calcPr calcId="0"/>
</workbook>
</file>

<file path=xl/calcChain.xml><?xml version="1.0" encoding="utf-8"?>
<calcChain xmlns="http://schemas.openxmlformats.org/spreadsheetml/2006/main">
  <c r="O10" i="1" l="1"/>
  <c r="N10" i="1"/>
  <c r="O7" i="1"/>
  <c r="N7" i="1"/>
  <c r="O4" i="1"/>
  <c r="N4" i="1"/>
</calcChain>
</file>

<file path=xl/sharedStrings.xml><?xml version="1.0" encoding="utf-8"?>
<sst xmlns="http://schemas.openxmlformats.org/spreadsheetml/2006/main" count="47" uniqueCount="23">
  <si>
    <t>log_name</t>
  </si>
  <si>
    <t>discovery_method</t>
  </si>
  <si>
    <t>n_cases</t>
  </si>
  <si>
    <t>avg_cycle_time_days</t>
  </si>
  <si>
    <t>avg_trace_length</t>
  </si>
  <si>
    <t>generalization</t>
  </si>
  <si>
    <t>fitness</t>
  </si>
  <si>
    <t>precision</t>
  </si>
  <si>
    <t>f_score</t>
  </si>
  <si>
    <t>size</t>
  </si>
  <si>
    <t>cfc</t>
  </si>
  <si>
    <t>simplicity</t>
  </si>
  <si>
    <t>status</t>
  </si>
  <si>
    <t>error</t>
  </si>
  <si>
    <t>anomaly</t>
  </si>
  <si>
    <t>heuristics_dep_0.5</t>
  </si>
  <si>
    <t>ok</t>
  </si>
  <si>
    <t>normal</t>
  </si>
  <si>
    <t>whole</t>
  </si>
  <si>
    <t>inductive_IMf_noise_0.2</t>
  </si>
  <si>
    <t>split_miner_eps_0.2_eta_0.5</t>
  </si>
  <si>
    <t>average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</si>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</sst>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F915-3AB2-4EFB-A24A-F0743A32301D}">
  <dimension ref="A1:O10"/>
  <sheetViews>
    <sheetView tabSelected="1" workbookViewId="0">
      <selection activeCell="N4" activeCellId="1" sqref="O4 N4"/>
    </sheetView>
  </sheetViews>
  <sheetFormatPr defaultRowHeight="14.5" x14ac:dyDescent="0.35"/>
  <cols>
    <col min="1" max="1" width="9.08984375" bestFit="1" customWidth="1"/>
    <col min="2" max="2" width="24.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5">
      <c r="A2" t="s">
        <v>14</v>
      </c>
      <c r="B2" t="s">
        <v>15</v>
      </c>
      <c r="C2">
        <v>286</v>
      </c>
      <c r="D2">
        <v>69.141022524928701</v>
      </c>
      <c r="E2">
        <v>12.0804195804195</v>
      </c>
      <c r="F2">
        <v>0.54759116942445996</v>
      </c>
      <c r="G2">
        <v>0.85000657615566599</v>
      </c>
      <c r="H2">
        <v>0.45383488031265201</v>
      </c>
      <c r="I2">
        <v>0.59173242397044101</v>
      </c>
      <c r="J2">
        <v>757</v>
      </c>
      <c r="K2">
        <v>53</v>
      </c>
      <c r="L2">
        <v>0.43950995405819199</v>
      </c>
      <c r="M2" t="s">
        <v>16</v>
      </c>
    </row>
    <row r="3" spans="1:15" ht="15.5" customHeight="1" x14ac:dyDescent="0.35">
      <c r="A3" t="s">
        <v>17</v>
      </c>
      <c r="B3" t="s">
        <v>15</v>
      </c>
      <c r="C3">
        <v>949</v>
      </c>
      <c r="D3">
        <v>36.064987511220302</v>
      </c>
      <c r="E3">
        <v>12.271865121180101</v>
      </c>
      <c r="F3">
        <v>0.50298500117652101</v>
      </c>
      <c r="G3">
        <v>0.87224490154138501</v>
      </c>
      <c r="H3">
        <v>0.36166326877336002</v>
      </c>
      <c r="I3">
        <v>0.51131672494216096</v>
      </c>
      <c r="J3">
        <v>1092</v>
      </c>
      <c r="K3">
        <v>74</v>
      </c>
      <c r="L3">
        <v>0.42499999999999999</v>
      </c>
      <c r="M3" t="s">
        <v>16</v>
      </c>
      <c r="N3" t="s">
        <v>21</v>
      </c>
      <c r="O3" s="1" t="s">
        <v>22</v>
      </c>
    </row>
    <row r="4" spans="1:15" x14ac:dyDescent="0.35">
      <c r="A4" t="s">
        <v>18</v>
      </c>
      <c r="B4" t="s">
        <v>15</v>
      </c>
      <c r="C4">
        <v>1235</v>
      </c>
      <c r="D4">
        <v>43.724700882816002</v>
      </c>
      <c r="E4">
        <v>12.2275303643724</v>
      </c>
      <c r="F4">
        <v>0.54243356140590304</v>
      </c>
      <c r="G4">
        <v>0.87064001540324298</v>
      </c>
      <c r="H4">
        <v>0.38082022302843799</v>
      </c>
      <c r="I4">
        <v>0.529872727333072</v>
      </c>
      <c r="J4">
        <v>1126</v>
      </c>
      <c r="K4">
        <v>73</v>
      </c>
      <c r="L4">
        <v>0.42110552763818998</v>
      </c>
      <c r="M4" t="s">
        <v>16</v>
      </c>
      <c r="N4" s="2">
        <f>AVERAGE(I2:I3)</f>
        <v>0.55152457445630099</v>
      </c>
      <c r="O4" s="2">
        <f>(C2*I2+C3*I3)/C4</f>
        <v>0.52993930787502586</v>
      </c>
    </row>
    <row r="5" spans="1:15" x14ac:dyDescent="0.35">
      <c r="A5" t="s">
        <v>14</v>
      </c>
      <c r="B5" t="s">
        <v>19</v>
      </c>
      <c r="C5">
        <v>286</v>
      </c>
      <c r="D5">
        <v>69.141022524928701</v>
      </c>
      <c r="E5">
        <v>12.0804195804195</v>
      </c>
      <c r="F5">
        <v>0.86675168196377805</v>
      </c>
      <c r="G5">
        <v>0.96897976413916398</v>
      </c>
      <c r="H5">
        <v>0.24263798271909701</v>
      </c>
      <c r="I5">
        <v>0.38809483581104598</v>
      </c>
      <c r="J5">
        <v>319</v>
      </c>
      <c r="K5">
        <v>11</v>
      </c>
      <c r="L5">
        <v>0.62895927601809898</v>
      </c>
      <c r="M5" t="s">
        <v>16</v>
      </c>
    </row>
    <row r="6" spans="1:15" x14ac:dyDescent="0.35">
      <c r="A6" t="s">
        <v>17</v>
      </c>
      <c r="B6" t="s">
        <v>19</v>
      </c>
      <c r="C6">
        <v>949</v>
      </c>
      <c r="D6">
        <v>36.064987511220302</v>
      </c>
      <c r="E6">
        <v>12.271865121180101</v>
      </c>
      <c r="F6">
        <v>0.85860921247967603</v>
      </c>
      <c r="G6">
        <v>0.962258363784392</v>
      </c>
      <c r="H6">
        <v>0.34779440784480398</v>
      </c>
      <c r="I6">
        <v>0.51092304840499703</v>
      </c>
      <c r="J6">
        <v>369</v>
      </c>
      <c r="K6">
        <v>9</v>
      </c>
      <c r="L6">
        <v>0.65461847389558203</v>
      </c>
      <c r="M6" t="s">
        <v>16</v>
      </c>
      <c r="N6" t="s">
        <v>21</v>
      </c>
      <c r="O6" s="1" t="s">
        <v>22</v>
      </c>
    </row>
    <row r="7" spans="1:15" x14ac:dyDescent="0.35">
      <c r="A7" t="s">
        <v>18</v>
      </c>
      <c r="B7" t="s">
        <v>19</v>
      </c>
      <c r="C7">
        <v>1235</v>
      </c>
      <c r="D7">
        <v>43.724700882816002</v>
      </c>
      <c r="E7">
        <v>12.2275303643724</v>
      </c>
      <c r="F7">
        <v>0.875511365042276</v>
      </c>
      <c r="G7">
        <v>0.953248653952392</v>
      </c>
      <c r="H7">
        <v>0.29195404232412597</v>
      </c>
      <c r="I7">
        <v>0.44700320468890198</v>
      </c>
      <c r="J7">
        <v>420</v>
      </c>
      <c r="K7">
        <v>11</v>
      </c>
      <c r="L7">
        <v>0.63888888888888895</v>
      </c>
      <c r="M7" t="s">
        <v>16</v>
      </c>
      <c r="N7" s="2">
        <f>AVERAGE(I5:I6)</f>
        <v>0.4495089421080215</v>
      </c>
      <c r="O7" s="2">
        <f>(C5*I5+C6*I6)/C7</f>
        <v>0.48247862022534521</v>
      </c>
    </row>
    <row r="8" spans="1:15" x14ac:dyDescent="0.35">
      <c r="A8" t="s">
        <v>14</v>
      </c>
      <c r="B8" t="s">
        <v>20</v>
      </c>
      <c r="C8">
        <v>286</v>
      </c>
      <c r="D8">
        <v>69.141022524928701</v>
      </c>
      <c r="E8">
        <v>12.0804195804195</v>
      </c>
      <c r="F8">
        <v>0.75514034805076202</v>
      </c>
      <c r="G8">
        <v>0.82667413155620095</v>
      </c>
      <c r="H8">
        <v>0.48982360922659401</v>
      </c>
      <c r="I8">
        <v>0.61515412329131502</v>
      </c>
      <c r="J8">
        <v>346</v>
      </c>
      <c r="K8">
        <v>64</v>
      </c>
      <c r="L8">
        <v>0.39432176656151402</v>
      </c>
      <c r="M8" t="s">
        <v>16</v>
      </c>
    </row>
    <row r="9" spans="1:15" x14ac:dyDescent="0.35">
      <c r="A9" t="s">
        <v>17</v>
      </c>
      <c r="B9" t="s">
        <v>20</v>
      </c>
      <c r="C9">
        <v>949</v>
      </c>
      <c r="D9">
        <v>36.064987511220302</v>
      </c>
      <c r="E9">
        <v>12.271865121180101</v>
      </c>
      <c r="F9">
        <v>0.69991111535890405</v>
      </c>
      <c r="G9">
        <v>0.89535613545578796</v>
      </c>
      <c r="H9">
        <v>0.29151527855412701</v>
      </c>
      <c r="I9">
        <v>0.43982859499615501</v>
      </c>
      <c r="J9">
        <v>487</v>
      </c>
      <c r="K9">
        <v>22</v>
      </c>
      <c r="L9">
        <v>0.48860759493670802</v>
      </c>
      <c r="M9" t="s">
        <v>16</v>
      </c>
      <c r="N9" t="s">
        <v>21</v>
      </c>
      <c r="O9" s="1" t="s">
        <v>22</v>
      </c>
    </row>
    <row r="10" spans="1:15" x14ac:dyDescent="0.35">
      <c r="A10" t="s">
        <v>18</v>
      </c>
      <c r="B10" t="s">
        <v>20</v>
      </c>
      <c r="C10">
        <v>1235</v>
      </c>
      <c r="D10">
        <v>43.724700882816002</v>
      </c>
      <c r="E10">
        <v>12.2275303643724</v>
      </c>
      <c r="F10">
        <v>0.72940773323417496</v>
      </c>
      <c r="G10">
        <v>0.71036598428624198</v>
      </c>
      <c r="H10">
        <v>0.32432295557271801</v>
      </c>
      <c r="I10">
        <v>0.44532803374401903</v>
      </c>
      <c r="J10">
        <v>675</v>
      </c>
      <c r="K10">
        <v>118</v>
      </c>
      <c r="L10">
        <v>0.39482200647249099</v>
      </c>
      <c r="M10" t="s">
        <v>16</v>
      </c>
      <c r="N10" s="2">
        <f>AVERAGE(I8:I9)</f>
        <v>0.52749135914373502</v>
      </c>
      <c r="O10" s="2">
        <f>(C8*I8+C9*I9)/C10</f>
        <v>0.4804302962855605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consolidated_results_table_anom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Choopannezhad Mahsa</dc:creator>
  <cp:lastModifiedBy>Choopannezhad Mahsa</cp:lastModifiedBy>
  <dcterms:created xsi:type="dcterms:W3CDTF">2026-08-24T09:11:41Z</dcterms:created>
  <dcterms:modified xsi:type="dcterms:W3CDTF">2026-08-24T09:11:41Z</dcterms:modified>
</cp:coreProperties>
</file>