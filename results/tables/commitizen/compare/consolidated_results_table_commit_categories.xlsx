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commitizen/compare/"/>
    </mc:Choice>
  </mc:AlternateContent>
  <xr:revisionPtr revIDLastSave="0" documentId="8_{597FC884-5B44-4342-9F92-0FD8165740F2}" xr6:coauthVersionLast="47" xr6:coauthVersionMax="47" xr10:uidLastSave="{00000000-0000-0000-0000-000000000000}"/>
  <bookViews>
    <workbookView xWindow="-28920" yWindow="-120" windowWidth="29040" windowHeight="15720" xr2:uid="{0FB9CF9C-959E-4B9B-8AF6-B3B81AD815DF}"/>
  </bookViews>
  <sheets>
    <sheet name="consolidated_results_table_comm" sheetId="1" r:id="rId1"/>
  </sheets>
  <calcPr calcId="0"/>
</workbook>
</file>

<file path=xl/calcChain.xml><?xml version="1.0" encoding="utf-8"?>
<calcChain xmlns="http://schemas.openxmlformats.org/spreadsheetml/2006/main">
  <c r="O19" i="1" l="1"/>
  <c r="O13" i="1"/>
  <c r="O7" i="1"/>
  <c r="N7" i="1"/>
  <c r="N13" i="1"/>
  <c r="N19" i="1"/>
</calcChain>
</file>

<file path=xl/sharedStrings.xml><?xml version="1.0" encoding="utf-8"?>
<sst xmlns="http://schemas.openxmlformats.org/spreadsheetml/2006/main" count="74" uniqueCount="26">
  <si>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</si>
  <si>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</si>
  <si>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</si>
  <si>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</si>
  <si>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</si>
  <si>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</si>
  <si>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</si>
  <si>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</si>
  <si>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</si>
  <si>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</si>
  <si>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</si>
  <si>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</si>
  <si>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</si>
  <si>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error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</si>
  <si>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</si>
  <si>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</si>
  <si>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</si>
  <si>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</si>
  <si>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</si>
  <si>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</si>
  <si>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</si>
  <si>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</si>
  <si>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</si>
  <si>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</si>
  <si>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average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</si>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</sst>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05A5-C66D-4F21-885C-4D50ECC66E6C}">
  <dimension ref="A1:O19"/>
  <sheetViews>
    <sheetView tabSelected="1" workbookViewId="0">
      <selection activeCell="O12" sqref="O12"/>
    </sheetView>
  </sheetViews>
  <sheetFormatPr defaultRowHeight="14.5" x14ac:dyDescent="0.35"/>
  <cols>
    <col min="1" max="1" width="11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14</v>
      </c>
      <c r="B2" t="s">
        <v>15</v>
      </c>
      <c r="C2">
        <v>78</v>
      </c>
      <c r="D2">
        <v>32.364357638888798</v>
      </c>
      <c r="E2">
        <v>13.3846153846153</v>
      </c>
      <c r="F2">
        <v>0.44092051647203101</v>
      </c>
      <c r="G2">
        <v>0.86903362822950603</v>
      </c>
      <c r="H2">
        <v>0.451105937136204</v>
      </c>
      <c r="I2">
        <v>0.59391633968147395</v>
      </c>
      <c r="J2">
        <v>461</v>
      </c>
      <c r="K2">
        <v>25</v>
      </c>
      <c r="L2">
        <v>0.45876288659793801</v>
      </c>
      <c r="M2" t="s">
        <v>16</v>
      </c>
    </row>
    <row r="3" spans="1:15" x14ac:dyDescent="0.35">
      <c r="A3" t="s">
        <v>17</v>
      </c>
      <c r="B3" t="s">
        <v>15</v>
      </c>
      <c r="C3">
        <v>121</v>
      </c>
      <c r="D3">
        <v>7.96991008570554</v>
      </c>
      <c r="E3">
        <v>11.694214876033</v>
      </c>
      <c r="F3">
        <v>0.47609621121718598</v>
      </c>
      <c r="G3">
        <v>0.85026134653154894</v>
      </c>
      <c r="H3">
        <v>0.406576980568011</v>
      </c>
      <c r="I3">
        <v>0.55010526574927499</v>
      </c>
      <c r="J3">
        <v>392</v>
      </c>
      <c r="K3">
        <v>23</v>
      </c>
      <c r="L3">
        <v>0.485893416927899</v>
      </c>
      <c r="M3" t="s">
        <v>16</v>
      </c>
    </row>
    <row r="4" spans="1:15" x14ac:dyDescent="0.35">
      <c r="A4" t="s">
        <v>18</v>
      </c>
      <c r="B4" t="s">
        <v>15</v>
      </c>
      <c r="C4">
        <v>27</v>
      </c>
      <c r="D4">
        <v>165.12024005486899</v>
      </c>
      <c r="E4">
        <v>14.7777777777777</v>
      </c>
      <c r="F4">
        <v>0.41839338143043497</v>
      </c>
      <c r="G4">
        <v>0.90095094639721995</v>
      </c>
      <c r="H4">
        <v>0.43594306049822001</v>
      </c>
      <c r="I4">
        <v>0.58757584506381999</v>
      </c>
      <c r="J4">
        <v>325</v>
      </c>
      <c r="K4">
        <v>10</v>
      </c>
      <c r="L4">
        <v>0.46323529411764702</v>
      </c>
      <c r="M4" t="s">
        <v>16</v>
      </c>
    </row>
    <row r="5" spans="1:15" x14ac:dyDescent="0.35">
      <c r="A5" t="s">
        <v>19</v>
      </c>
      <c r="B5" t="s">
        <v>15</v>
      </c>
      <c r="C5">
        <v>456</v>
      </c>
      <c r="D5">
        <v>89.106843704312794</v>
      </c>
      <c r="E5">
        <v>12.105263157894701</v>
      </c>
      <c r="F5">
        <v>0.49900458019324101</v>
      </c>
      <c r="G5">
        <v>0.86333777246316301</v>
      </c>
      <c r="H5">
        <v>0.37530359197238899</v>
      </c>
      <c r="I5">
        <v>0.52317608049286901</v>
      </c>
      <c r="J5">
        <v>944</v>
      </c>
      <c r="K5">
        <v>68</v>
      </c>
      <c r="L5">
        <v>0.42307692307692302</v>
      </c>
      <c r="M5" t="s">
        <v>16</v>
      </c>
    </row>
    <row r="6" spans="1:15" x14ac:dyDescent="0.35">
      <c r="A6" t="s">
        <v>20</v>
      </c>
      <c r="B6" t="s">
        <v>15</v>
      </c>
      <c r="C6">
        <v>553</v>
      </c>
      <c r="D6">
        <v>9.8015540025785199</v>
      </c>
      <c r="E6">
        <v>12.1573236889692</v>
      </c>
      <c r="F6">
        <v>0.516570107671253</v>
      </c>
      <c r="G6">
        <v>0.83218390619571303</v>
      </c>
      <c r="H6">
        <v>0.39998976615668003</v>
      </c>
      <c r="I6">
        <v>0.54028917109239905</v>
      </c>
      <c r="J6">
        <v>713</v>
      </c>
      <c r="K6">
        <v>54</v>
      </c>
      <c r="L6">
        <v>0.43086816720257198</v>
      </c>
      <c r="M6" t="s">
        <v>16</v>
      </c>
      <c r="N6" t="s">
        <v>24</v>
      </c>
      <c r="O6" t="s">
        <v>25</v>
      </c>
    </row>
    <row r="7" spans="1:15" x14ac:dyDescent="0.35">
      <c r="A7" t="s">
        <v>21</v>
      </c>
      <c r="B7" t="s">
        <v>15</v>
      </c>
      <c r="C7">
        <v>1235</v>
      </c>
      <c r="D7">
        <v>43.724700882816002</v>
      </c>
      <c r="E7">
        <v>12.2275303643724</v>
      </c>
      <c r="F7">
        <v>0.54288836720298395</v>
      </c>
      <c r="G7">
        <v>0.86776206773554199</v>
      </c>
      <c r="H7">
        <v>0.387891803446336</v>
      </c>
      <c r="I7">
        <v>0.53613149473977195</v>
      </c>
      <c r="J7">
        <v>1126</v>
      </c>
      <c r="K7">
        <v>73</v>
      </c>
      <c r="L7">
        <v>0.42110552763818998</v>
      </c>
      <c r="M7" t="s">
        <v>16</v>
      </c>
      <c r="N7" s="1">
        <f>AVERAGE(I2:I6)</f>
        <v>0.55901254041596737</v>
      </c>
      <c r="O7" s="1">
        <f>(C2*I2+C3*I3+C4*I4+C5*I5+C6*I6)/C7</f>
        <v>0.53935300711448209</v>
      </c>
    </row>
    <row r="8" spans="1:15" x14ac:dyDescent="0.35">
      <c r="A8" t="s">
        <v>14</v>
      </c>
      <c r="B8" t="s">
        <v>22</v>
      </c>
      <c r="C8">
        <v>78</v>
      </c>
      <c r="D8">
        <v>32.364357638888798</v>
      </c>
      <c r="E8">
        <v>13.3846153846153</v>
      </c>
      <c r="F8">
        <v>0.75221449389847195</v>
      </c>
      <c r="G8">
        <v>0.96142494613854801</v>
      </c>
      <c r="H8">
        <v>0.17158149868713299</v>
      </c>
      <c r="I8">
        <v>0.29119469511760598</v>
      </c>
      <c r="J8">
        <v>255</v>
      </c>
      <c r="K8">
        <v>10</v>
      </c>
      <c r="L8">
        <v>0.62711864406779605</v>
      </c>
      <c r="M8" t="s">
        <v>16</v>
      </c>
    </row>
    <row r="9" spans="1:15" x14ac:dyDescent="0.35">
      <c r="A9" t="s">
        <v>17</v>
      </c>
      <c r="B9" t="s">
        <v>22</v>
      </c>
      <c r="C9">
        <v>121</v>
      </c>
      <c r="D9">
        <v>7.96991008570554</v>
      </c>
      <c r="E9">
        <v>11.694214876033</v>
      </c>
      <c r="F9">
        <v>0.78411085634855904</v>
      </c>
      <c r="G9">
        <v>0.93899233442083696</v>
      </c>
      <c r="H9">
        <v>0.35895602431176199</v>
      </c>
      <c r="I9">
        <v>0.51936882227278802</v>
      </c>
      <c r="J9">
        <v>142</v>
      </c>
      <c r="K9">
        <v>5</v>
      </c>
      <c r="L9">
        <v>0.63265306122448906</v>
      </c>
      <c r="M9" t="s">
        <v>16</v>
      </c>
    </row>
    <row r="10" spans="1:15" x14ac:dyDescent="0.35">
      <c r="A10" t="s">
        <v>18</v>
      </c>
      <c r="B10" t="s">
        <v>22</v>
      </c>
      <c r="C10">
        <v>27</v>
      </c>
      <c r="D10">
        <v>165.12024005486899</v>
      </c>
      <c r="E10">
        <v>14.7777777777777</v>
      </c>
      <c r="F10">
        <v>0.713233740399844</v>
      </c>
      <c r="G10">
        <v>0.99361355764294101</v>
      </c>
      <c r="H10">
        <v>0.13878804803127601</v>
      </c>
      <c r="I10">
        <v>0.243556147345041</v>
      </c>
      <c r="J10">
        <v>159</v>
      </c>
      <c r="K10">
        <v>2</v>
      </c>
      <c r="L10">
        <v>0.62162162162162105</v>
      </c>
      <c r="M10" t="s">
        <v>16</v>
      </c>
    </row>
    <row r="11" spans="1:15" x14ac:dyDescent="0.35">
      <c r="A11" t="s">
        <v>19</v>
      </c>
      <c r="B11" t="s">
        <v>22</v>
      </c>
      <c r="C11">
        <v>456</v>
      </c>
      <c r="D11">
        <v>89.106843704312794</v>
      </c>
      <c r="E11">
        <v>12.105263157894701</v>
      </c>
      <c r="F11">
        <v>0.77520872224499704</v>
      </c>
      <c r="G11">
        <v>0.96503995101656304</v>
      </c>
      <c r="H11">
        <v>0.26738155312587603</v>
      </c>
      <c r="I11">
        <v>0.41874290583865897</v>
      </c>
      <c r="J11">
        <v>476</v>
      </c>
      <c r="K11">
        <v>12</v>
      </c>
      <c r="L11">
        <v>0.63414634146341398</v>
      </c>
      <c r="M11" t="s">
        <v>16</v>
      </c>
    </row>
    <row r="12" spans="1:15" x14ac:dyDescent="0.35">
      <c r="A12" t="s">
        <v>20</v>
      </c>
      <c r="B12" t="s">
        <v>22</v>
      </c>
      <c r="C12">
        <v>553</v>
      </c>
      <c r="D12">
        <v>9.8015540025785199</v>
      </c>
      <c r="E12">
        <v>12.1573236889692</v>
      </c>
      <c r="F12">
        <v>0.74501244832940705</v>
      </c>
      <c r="G12">
        <v>0.94570411267265198</v>
      </c>
      <c r="H12">
        <v>0.263585196991582</v>
      </c>
      <c r="I12">
        <v>0.41226462988212897</v>
      </c>
      <c r="J12">
        <v>349</v>
      </c>
      <c r="K12">
        <v>10</v>
      </c>
      <c r="L12">
        <v>0.64016736401673602</v>
      </c>
      <c r="M12" t="s">
        <v>16</v>
      </c>
      <c r="N12" t="s">
        <v>24</v>
      </c>
      <c r="O12" t="s">
        <v>25</v>
      </c>
    </row>
    <row r="13" spans="1:15" x14ac:dyDescent="0.35">
      <c r="A13" t="s">
        <v>21</v>
      </c>
      <c r="B13" t="s">
        <v>22</v>
      </c>
      <c r="C13">
        <v>1235</v>
      </c>
      <c r="D13">
        <v>43.724700882816002</v>
      </c>
      <c r="E13">
        <v>12.2275303643724</v>
      </c>
      <c r="F13">
        <v>0.87552962404895096</v>
      </c>
      <c r="G13">
        <v>0.95314086808346499</v>
      </c>
      <c r="H13">
        <v>0.29195404232412597</v>
      </c>
      <c r="I13" s="1">
        <v>0.44699135305307602</v>
      </c>
      <c r="J13">
        <v>420</v>
      </c>
      <c r="K13">
        <v>11</v>
      </c>
      <c r="L13">
        <v>0.63888888888888895</v>
      </c>
      <c r="M13" t="s">
        <v>16</v>
      </c>
      <c r="N13">
        <f>AVERAGE(I8:I12)</f>
        <v>0.37702544009124461</v>
      </c>
      <c r="O13">
        <f>(C8*I8+C9*I9+C10*I10+C11*I11+C12*I12)/C13</f>
        <v>0.41381533204837451</v>
      </c>
    </row>
    <row r="14" spans="1:15" x14ac:dyDescent="0.35">
      <c r="A14" t="s">
        <v>14</v>
      </c>
      <c r="B14" t="s">
        <v>23</v>
      </c>
      <c r="C14">
        <v>78</v>
      </c>
      <c r="D14">
        <v>32.364357638888798</v>
      </c>
      <c r="E14">
        <v>13.3846153846153</v>
      </c>
      <c r="F14">
        <v>0.63998335749051305</v>
      </c>
      <c r="G14">
        <v>0.89569957849632698</v>
      </c>
      <c r="H14">
        <v>0.468388245770258</v>
      </c>
      <c r="I14">
        <v>0.61511457964170502</v>
      </c>
      <c r="J14">
        <v>288</v>
      </c>
      <c r="K14">
        <v>30</v>
      </c>
      <c r="L14">
        <v>0.47679324894514702</v>
      </c>
      <c r="M14" t="s">
        <v>16</v>
      </c>
    </row>
    <row r="15" spans="1:15" x14ac:dyDescent="0.35">
      <c r="A15" t="s">
        <v>17</v>
      </c>
      <c r="B15" t="s">
        <v>23</v>
      </c>
      <c r="C15">
        <v>121</v>
      </c>
      <c r="D15">
        <v>7.96991008570554</v>
      </c>
      <c r="E15">
        <v>11.694214876033</v>
      </c>
      <c r="F15">
        <v>0.602530637010527</v>
      </c>
      <c r="G15">
        <v>0.93295070222702003</v>
      </c>
      <c r="H15">
        <v>0.38250673427349002</v>
      </c>
      <c r="I15">
        <v>0.54256400312938402</v>
      </c>
      <c r="J15">
        <v>284</v>
      </c>
      <c r="K15">
        <v>22</v>
      </c>
      <c r="L15">
        <v>0.452282157676348</v>
      </c>
      <c r="M15" t="s">
        <v>16</v>
      </c>
    </row>
    <row r="16" spans="1:15" x14ac:dyDescent="0.35">
      <c r="A16" t="s">
        <v>18</v>
      </c>
      <c r="B16" t="s">
        <v>23</v>
      </c>
      <c r="C16">
        <v>27</v>
      </c>
      <c r="D16">
        <v>165.12024005486899</v>
      </c>
      <c r="E16">
        <v>14.7777777777777</v>
      </c>
      <c r="F16">
        <v>0.58827634947596497</v>
      </c>
      <c r="G16">
        <v>0.91802957423391596</v>
      </c>
      <c r="H16">
        <v>0.47487001733102202</v>
      </c>
      <c r="I16">
        <v>0.62595282885690595</v>
      </c>
      <c r="J16">
        <v>187</v>
      </c>
      <c r="K16">
        <v>1</v>
      </c>
      <c r="L16">
        <v>0.59701492537313405</v>
      </c>
      <c r="M16" t="s">
        <v>16</v>
      </c>
    </row>
    <row r="17" spans="1:15" x14ac:dyDescent="0.35">
      <c r="A17" t="s">
        <v>19</v>
      </c>
      <c r="B17" t="s">
        <v>23</v>
      </c>
      <c r="C17">
        <v>456</v>
      </c>
      <c r="D17">
        <v>89.106843704312794</v>
      </c>
      <c r="E17">
        <v>12.105263157894701</v>
      </c>
      <c r="F17">
        <v>0.66281393909199204</v>
      </c>
      <c r="G17">
        <v>0.74830293704819295</v>
      </c>
      <c r="H17">
        <v>0.33654310889690298</v>
      </c>
      <c r="I17">
        <v>0.46428006586222598</v>
      </c>
      <c r="J17">
        <v>754</v>
      </c>
      <c r="K17">
        <v>218</v>
      </c>
      <c r="L17">
        <v>0.29736511919698799</v>
      </c>
      <c r="M17" t="s">
        <v>16</v>
      </c>
    </row>
    <row r="18" spans="1:15" x14ac:dyDescent="0.35">
      <c r="A18" t="s">
        <v>20</v>
      </c>
      <c r="B18" t="s">
        <v>23</v>
      </c>
      <c r="C18">
        <v>553</v>
      </c>
      <c r="D18">
        <v>9.8015540025785199</v>
      </c>
      <c r="E18">
        <v>12.1573236889692</v>
      </c>
      <c r="F18">
        <v>0.75587645512081603</v>
      </c>
      <c r="G18">
        <v>0.93928024010942301</v>
      </c>
      <c r="H18">
        <v>0.45947068597199098</v>
      </c>
      <c r="I18">
        <v>0.61708160930703604</v>
      </c>
      <c r="J18">
        <v>281</v>
      </c>
      <c r="K18">
        <v>2</v>
      </c>
      <c r="L18">
        <v>0.55450236966824595</v>
      </c>
      <c r="M18" t="s">
        <v>16</v>
      </c>
      <c r="N18" t="s">
        <v>24</v>
      </c>
      <c r="O18" t="s">
        <v>25</v>
      </c>
    </row>
    <row r="19" spans="1:15" x14ac:dyDescent="0.35">
      <c r="A19" t="s">
        <v>21</v>
      </c>
      <c r="B19" t="s">
        <v>23</v>
      </c>
      <c r="C19">
        <v>1235</v>
      </c>
      <c r="D19">
        <v>43.724700882816002</v>
      </c>
      <c r="E19">
        <v>12.2275303643724</v>
      </c>
      <c r="F19">
        <v>0.73474381354301899</v>
      </c>
      <c r="G19">
        <v>0.72717831641249298</v>
      </c>
      <c r="H19">
        <v>0.32574582263028001</v>
      </c>
      <c r="I19">
        <v>0.44993801565616298</v>
      </c>
      <c r="J19">
        <v>675</v>
      </c>
      <c r="K19">
        <v>118</v>
      </c>
      <c r="L19">
        <v>0.39482200647249099</v>
      </c>
      <c r="M19" t="s">
        <v>16</v>
      </c>
      <c r="N19" s="1">
        <f>AVERAGE(I14:I18)</f>
        <v>0.57299861735945146</v>
      </c>
      <c r="O19" s="1">
        <f>(C14*I14+C15*I15+C16*I16+C17*I17+C18*I18)/C19</f>
        <v>0.55343137485814653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consolidated_results_table_comm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Choopannezhad Mahsa</dc:creator>
  <cp:lastModifiedBy>Choopannezhad Mahsa</cp:lastModifiedBy>
  <dcterms:created xsi:type="dcterms:W3CDTF">2026-08-24T09:05:50Z</dcterms:created>
  <dcterms:modified xsi:type="dcterms:W3CDTF">2026-08-24T09:05:50Z</dcterms:modified>
</cp:coreProperties>
</file>