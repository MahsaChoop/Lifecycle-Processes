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ampusfl-my.sharepoint.com/personal/mahsa_choopannezhad_uni_li/Documents/Desktop/PhD materials/codes/Lifecycles-Processes/results/tables/commitizen/compare/"/>
    </mc:Choice>
  </mc:AlternateContent>
  <xr:revisionPtr revIDLastSave="0" documentId="8_{93C5BE1C-4B94-4DE2-BF06-9FF1D95357B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mmit_categories" sheetId="1" r:id="rId1"/>
    <sheet name="anomaly_normal" sheetId="2" r:id="rId2"/>
    <sheet name="anomaly_categor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4" i="3" l="1"/>
  <c r="O34" i="3"/>
  <c r="N34" i="3"/>
  <c r="P23" i="3"/>
  <c r="O23" i="3"/>
  <c r="N23" i="3"/>
  <c r="P12" i="3"/>
  <c r="O12" i="3"/>
  <c r="N12" i="3"/>
  <c r="O10" i="2"/>
  <c r="N10" i="2"/>
  <c r="O7" i="2"/>
  <c r="N7" i="2"/>
  <c r="O4" i="2"/>
  <c r="N4" i="2"/>
  <c r="O19" i="1"/>
  <c r="N19" i="1"/>
  <c r="O13" i="1"/>
  <c r="N13" i="1"/>
  <c r="O7" i="1"/>
  <c r="N7" i="1"/>
</calcChain>
</file>

<file path=xl/sharedStrings.xml><?xml version="1.0" encoding="utf-8"?>
<sst xmlns="http://schemas.openxmlformats.org/spreadsheetml/2006/main" count="240" uniqueCount="39">
  <si>
    <t>log_name</t>
  </si>
  <si>
    <t>discovery_method</t>
  </si>
  <si>
    <t>n_cases</t>
  </si>
  <si>
    <t>avg_cycle_time_days</t>
  </si>
  <si>
    <t>avg_trace_length</t>
  </si>
  <si>
    <t>generalization</t>
  </si>
  <si>
    <t>fitness</t>
  </si>
  <si>
    <t>precision</t>
  </si>
  <si>
    <t>f_score</t>
  </si>
  <si>
    <t>size</t>
  </si>
  <si>
    <t>cfc</t>
  </si>
  <si>
    <t>simplicity</t>
  </si>
  <si>
    <t>status</t>
  </si>
  <si>
    <t>bug_fixes</t>
  </si>
  <si>
    <t>heuristics_dep_0.5</t>
  </si>
  <si>
    <t>ok</t>
  </si>
  <si>
    <t>docs</t>
  </si>
  <si>
    <t>feature_work</t>
  </si>
  <si>
    <t>other</t>
  </si>
  <si>
    <t>tech_debt</t>
  </si>
  <si>
    <t>whole</t>
  </si>
  <si>
    <t>inductive_IMf_noise_0.2</t>
  </si>
  <si>
    <t>split_miner_eps_0.2_eta_0.5</t>
  </si>
  <si>
    <t>anomaly</t>
  </si>
  <si>
    <t>normal</t>
  </si>
  <si>
    <t>anomaly_bug_fixes</t>
  </si>
  <si>
    <t>anomaly_docs</t>
  </si>
  <si>
    <t>anomaly_feature_work</t>
  </si>
  <si>
    <t>anomaly_other</t>
  </si>
  <si>
    <t>anomaly_tech_debt</t>
  </si>
  <si>
    <t>normal_bug_fixes</t>
  </si>
  <si>
    <t>normal_docs</t>
  </si>
  <si>
    <t>normal_feature_work</t>
  </si>
  <si>
    <t>normal_other</t>
  </si>
  <si>
    <t>normal_tech_debt</t>
  </si>
  <si>
    <t>average</t>
  </si>
  <si>
    <t>weighted average</t>
  </si>
  <si>
    <t>anomaly average</t>
  </si>
  <si>
    <t>wighted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</si>
</sst>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workbookViewId="0">
      <selection activeCell="V12" sqref="V12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35">
      <c r="A2" t="s">
        <v>13</v>
      </c>
      <c r="B2" t="s">
        <v>14</v>
      </c>
      <c r="C2">
        <v>113</v>
      </c>
      <c r="D2">
        <v>45.331196329072426</v>
      </c>
      <c r="E2">
        <v>13.725663716814161</v>
      </c>
      <c r="F2">
        <v>0.48435450204883329</v>
      </c>
      <c r="G2">
        <v>0.84967690418284048</v>
      </c>
      <c r="H2">
        <v>0.46034368803701248</v>
      </c>
      <c r="I2">
        <v>0.59715610889535831</v>
      </c>
      <c r="J2">
        <v>555</v>
      </c>
      <c r="K2">
        <v>28</v>
      </c>
      <c r="L2">
        <v>0.45726495726495731</v>
      </c>
      <c r="M2" t="s">
        <v>15</v>
      </c>
    </row>
    <row r="3" spans="1:15" x14ac:dyDescent="0.35">
      <c r="A3" t="s">
        <v>16</v>
      </c>
      <c r="B3" t="s">
        <v>14</v>
      </c>
      <c r="C3">
        <v>140</v>
      </c>
      <c r="D3">
        <v>12.86283258928572</v>
      </c>
      <c r="E3">
        <v>12.321428571428569</v>
      </c>
      <c r="F3">
        <v>0.50994799568861648</v>
      </c>
      <c r="G3">
        <v>0.85508552526493908</v>
      </c>
      <c r="H3">
        <v>0.39503077273763387</v>
      </c>
      <c r="I3">
        <v>0.54040587478442614</v>
      </c>
      <c r="J3">
        <v>449</v>
      </c>
      <c r="K3">
        <v>22</v>
      </c>
      <c r="L3">
        <v>0.48228882833787462</v>
      </c>
      <c r="M3" t="s">
        <v>15</v>
      </c>
    </row>
    <row r="4" spans="1:15" x14ac:dyDescent="0.35">
      <c r="A4" t="s">
        <v>17</v>
      </c>
      <c r="B4" t="s">
        <v>14</v>
      </c>
      <c r="C4">
        <v>50</v>
      </c>
      <c r="D4">
        <v>188.26465949074071</v>
      </c>
      <c r="E4">
        <v>16.22</v>
      </c>
      <c r="F4">
        <v>0.45532272851578592</v>
      </c>
      <c r="G4">
        <v>0.86929524365656052</v>
      </c>
      <c r="H4">
        <v>0.29064486830154401</v>
      </c>
      <c r="I4">
        <v>0.43563663158645077</v>
      </c>
      <c r="J4">
        <v>487</v>
      </c>
      <c r="K4">
        <v>30</v>
      </c>
      <c r="L4">
        <v>0.45278450363196132</v>
      </c>
      <c r="M4" t="s">
        <v>15</v>
      </c>
    </row>
    <row r="5" spans="1:15" x14ac:dyDescent="0.35">
      <c r="A5" t="s">
        <v>18</v>
      </c>
      <c r="B5" t="s">
        <v>14</v>
      </c>
      <c r="C5">
        <v>676</v>
      </c>
      <c r="D5">
        <v>145.9303839476496</v>
      </c>
      <c r="E5">
        <v>13.17307692307692</v>
      </c>
      <c r="F5">
        <v>0.49983574282500409</v>
      </c>
      <c r="G5">
        <v>0.88884983609843382</v>
      </c>
      <c r="H5">
        <v>0.41755667606304842</v>
      </c>
      <c r="I5">
        <v>0.56819248775234354</v>
      </c>
      <c r="J5">
        <v>1036</v>
      </c>
      <c r="K5">
        <v>62</v>
      </c>
      <c r="L5">
        <v>0.42231947483588622</v>
      </c>
      <c r="M5" t="s">
        <v>15</v>
      </c>
    </row>
    <row r="6" spans="1:15" x14ac:dyDescent="0.35">
      <c r="A6" t="s">
        <v>19</v>
      </c>
      <c r="B6" t="s">
        <v>14</v>
      </c>
      <c r="C6">
        <v>601</v>
      </c>
      <c r="D6">
        <v>15.95014081469157</v>
      </c>
      <c r="E6">
        <v>12.407653910149749</v>
      </c>
      <c r="F6">
        <v>0.50131137201697085</v>
      </c>
      <c r="G6">
        <v>0.83916331063887428</v>
      </c>
      <c r="H6">
        <v>0.36450630709003923</v>
      </c>
      <c r="I6">
        <v>0.50824630762644507</v>
      </c>
      <c r="J6">
        <v>790</v>
      </c>
      <c r="K6">
        <v>53</v>
      </c>
      <c r="L6">
        <v>0.43105950653120462</v>
      </c>
      <c r="M6" t="s">
        <v>15</v>
      </c>
      <c r="N6" t="s">
        <v>35</v>
      </c>
      <c r="O6" t="s">
        <v>36</v>
      </c>
    </row>
    <row r="7" spans="1:15" x14ac:dyDescent="0.35">
      <c r="A7" t="s">
        <v>20</v>
      </c>
      <c r="B7" t="s">
        <v>14</v>
      </c>
      <c r="C7">
        <v>1580</v>
      </c>
      <c r="D7">
        <v>78.84267651928036</v>
      </c>
      <c r="E7">
        <v>12.94240506329114</v>
      </c>
      <c r="F7">
        <v>0.5367344274189475</v>
      </c>
      <c r="G7">
        <v>0.88834231028565902</v>
      </c>
      <c r="H7">
        <v>0.37639265661472471</v>
      </c>
      <c r="I7">
        <v>0.52875192178982022</v>
      </c>
      <c r="J7">
        <v>1306</v>
      </c>
      <c r="K7">
        <v>79</v>
      </c>
      <c r="L7">
        <v>0.41724137931034477</v>
      </c>
      <c r="M7" t="s">
        <v>15</v>
      </c>
      <c r="N7" s="1">
        <f>AVERAGE(I2:I6)</f>
        <v>0.52992748212900476</v>
      </c>
      <c r="O7" s="1">
        <f>(C2*I2+C3*I3+C4*I4+C5*I5+C6*I6)/C7</f>
        <v>0.54080471326480717</v>
      </c>
    </row>
    <row r="8" spans="1:15" x14ac:dyDescent="0.35">
      <c r="A8" t="s">
        <v>13</v>
      </c>
      <c r="B8" t="s">
        <v>21</v>
      </c>
      <c r="C8">
        <v>113</v>
      </c>
      <c r="D8">
        <v>45.331196329072426</v>
      </c>
      <c r="E8">
        <v>13.725663716814161</v>
      </c>
      <c r="F8">
        <v>0.82455880149971494</v>
      </c>
      <c r="G8">
        <v>0.96550941683685043</v>
      </c>
      <c r="H8">
        <v>0.20021369277554041</v>
      </c>
      <c r="I8">
        <v>0.33165372490340411</v>
      </c>
      <c r="J8">
        <v>212</v>
      </c>
      <c r="K8">
        <v>9</v>
      </c>
      <c r="L8">
        <v>0.6216216216216216</v>
      </c>
      <c r="M8" t="s">
        <v>15</v>
      </c>
    </row>
    <row r="9" spans="1:15" x14ac:dyDescent="0.35">
      <c r="A9" t="s">
        <v>16</v>
      </c>
      <c r="B9" t="s">
        <v>21</v>
      </c>
      <c r="C9">
        <v>140</v>
      </c>
      <c r="D9">
        <v>12.86283258928572</v>
      </c>
      <c r="E9">
        <v>12.321428571428569</v>
      </c>
      <c r="F9">
        <v>0.76575712819883102</v>
      </c>
      <c r="G9">
        <v>0.94781025615575687</v>
      </c>
      <c r="H9">
        <v>0.42169086251067472</v>
      </c>
      <c r="I9">
        <v>0.58369127117468989</v>
      </c>
      <c r="J9">
        <v>172</v>
      </c>
      <c r="K9">
        <v>4</v>
      </c>
      <c r="L9">
        <v>0.65517241379310354</v>
      </c>
      <c r="M9" t="s">
        <v>15</v>
      </c>
    </row>
    <row r="10" spans="1:15" x14ac:dyDescent="0.35">
      <c r="A10" t="s">
        <v>17</v>
      </c>
      <c r="B10" t="s">
        <v>21</v>
      </c>
      <c r="C10">
        <v>50</v>
      </c>
      <c r="D10">
        <v>188.26465949074071</v>
      </c>
      <c r="E10">
        <v>16.22</v>
      </c>
      <c r="F10">
        <v>0.76310602005150252</v>
      </c>
      <c r="G10">
        <v>0.99470982249258155</v>
      </c>
      <c r="H10">
        <v>0.14588115276715119</v>
      </c>
      <c r="I10">
        <v>0.25444601740949618</v>
      </c>
      <c r="J10">
        <v>178</v>
      </c>
      <c r="K10">
        <v>4</v>
      </c>
      <c r="L10">
        <v>0.6393442622950819</v>
      </c>
      <c r="M10" t="s">
        <v>15</v>
      </c>
    </row>
    <row r="11" spans="1:15" x14ac:dyDescent="0.35">
      <c r="A11" t="s">
        <v>18</v>
      </c>
      <c r="B11" t="s">
        <v>21</v>
      </c>
      <c r="C11">
        <v>676</v>
      </c>
      <c r="D11">
        <v>145.9303839476496</v>
      </c>
      <c r="E11">
        <v>13.17307692307692</v>
      </c>
      <c r="F11">
        <v>0.69417605020887563</v>
      </c>
      <c r="G11">
        <v>0.95986434714772328</v>
      </c>
      <c r="H11">
        <v>0.35386147754050967</v>
      </c>
      <c r="I11">
        <v>0.51709269885252696</v>
      </c>
      <c r="J11">
        <v>483</v>
      </c>
      <c r="K11">
        <v>11</v>
      </c>
      <c r="L11">
        <v>0.63363363363363367</v>
      </c>
      <c r="M11" t="s">
        <v>15</v>
      </c>
    </row>
    <row r="12" spans="1:15" x14ac:dyDescent="0.35">
      <c r="A12" t="s">
        <v>19</v>
      </c>
      <c r="B12" t="s">
        <v>21</v>
      </c>
      <c r="C12">
        <v>601</v>
      </c>
      <c r="D12">
        <v>15.95014081469157</v>
      </c>
      <c r="E12">
        <v>12.407653910149749</v>
      </c>
      <c r="F12">
        <v>0.87445169351790419</v>
      </c>
      <c r="G12">
        <v>0.94813942833261633</v>
      </c>
      <c r="H12">
        <v>0.41620075412820179</v>
      </c>
      <c r="I12">
        <v>0.57847207047579552</v>
      </c>
      <c r="J12">
        <v>191</v>
      </c>
      <c r="K12">
        <v>4</v>
      </c>
      <c r="L12">
        <v>0.6692913385826772</v>
      </c>
      <c r="M12" t="s">
        <v>15</v>
      </c>
      <c r="N12" t="s">
        <v>35</v>
      </c>
      <c r="O12" t="s">
        <v>36</v>
      </c>
    </row>
    <row r="13" spans="1:15" x14ac:dyDescent="0.35">
      <c r="A13" t="s">
        <v>20</v>
      </c>
      <c r="B13" t="s">
        <v>21</v>
      </c>
      <c r="C13">
        <v>1580</v>
      </c>
      <c r="D13">
        <v>78.84267651928036</v>
      </c>
      <c r="E13">
        <v>12.94240506329114</v>
      </c>
      <c r="F13">
        <v>0.87173348102372084</v>
      </c>
      <c r="G13">
        <v>0.95820480641733763</v>
      </c>
      <c r="H13">
        <v>0.44984212682879798</v>
      </c>
      <c r="I13" s="1">
        <v>0.61225358030164911</v>
      </c>
      <c r="J13">
        <v>341</v>
      </c>
      <c r="K13">
        <v>6</v>
      </c>
      <c r="L13">
        <v>0.63404255319148939</v>
      </c>
      <c r="M13" t="s">
        <v>15</v>
      </c>
      <c r="N13" s="2">
        <f>AVERAGE(I8:I12)</f>
        <v>0.45307115656318253</v>
      </c>
      <c r="O13" s="2">
        <f>(C8*I8+C9*I9+C10*I10+C11*I11+C12*I12)/C13</f>
        <v>0.5247672965375173</v>
      </c>
    </row>
    <row r="14" spans="1:15" x14ac:dyDescent="0.35">
      <c r="A14" t="s">
        <v>13</v>
      </c>
      <c r="B14" t="s">
        <v>22</v>
      </c>
      <c r="C14">
        <v>113</v>
      </c>
      <c r="D14">
        <v>45.331196329072426</v>
      </c>
      <c r="E14">
        <v>13.725663716814161</v>
      </c>
      <c r="F14">
        <v>0.6733150397275115</v>
      </c>
      <c r="G14">
        <v>0.93950095154377333</v>
      </c>
      <c r="H14">
        <v>0.43199233716475088</v>
      </c>
      <c r="I14">
        <v>0.59184717149885613</v>
      </c>
      <c r="J14">
        <v>331</v>
      </c>
      <c r="K14">
        <v>20</v>
      </c>
      <c r="L14">
        <v>0.48698884758364308</v>
      </c>
      <c r="M14" t="s">
        <v>15</v>
      </c>
    </row>
    <row r="15" spans="1:15" x14ac:dyDescent="0.35">
      <c r="A15" t="s">
        <v>16</v>
      </c>
      <c r="B15" t="s">
        <v>22</v>
      </c>
      <c r="C15">
        <v>140</v>
      </c>
      <c r="D15">
        <v>12.86283258928572</v>
      </c>
      <c r="E15">
        <v>12.321428571428569</v>
      </c>
      <c r="F15">
        <v>0.66718532674509812</v>
      </c>
      <c r="G15">
        <v>0.85722030547640238</v>
      </c>
      <c r="H15">
        <v>0.45909337186201921</v>
      </c>
      <c r="I15">
        <v>0.59794890419355917</v>
      </c>
      <c r="J15">
        <v>280</v>
      </c>
      <c r="K15">
        <v>18</v>
      </c>
      <c r="L15">
        <v>0.47826086956521741</v>
      </c>
      <c r="M15" t="s">
        <v>15</v>
      </c>
    </row>
    <row r="16" spans="1:15" x14ac:dyDescent="0.35">
      <c r="A16" t="s">
        <v>17</v>
      </c>
      <c r="B16" t="s">
        <v>22</v>
      </c>
      <c r="C16">
        <v>50</v>
      </c>
      <c r="D16">
        <v>188.26465949074071</v>
      </c>
      <c r="E16">
        <v>16.22</v>
      </c>
      <c r="F16">
        <v>0.62620308119708867</v>
      </c>
      <c r="G16">
        <v>0.92398007590132825</v>
      </c>
      <c r="H16">
        <v>0.33938764919564091</v>
      </c>
      <c r="I16">
        <v>0.49643095930710501</v>
      </c>
      <c r="J16">
        <v>271</v>
      </c>
      <c r="K16">
        <v>2</v>
      </c>
      <c r="L16">
        <v>0.55665024630541871</v>
      </c>
      <c r="M16" t="s">
        <v>15</v>
      </c>
    </row>
    <row r="17" spans="1:15" x14ac:dyDescent="0.35">
      <c r="A17" t="s">
        <v>18</v>
      </c>
      <c r="B17" t="s">
        <v>22</v>
      </c>
      <c r="C17">
        <v>676</v>
      </c>
      <c r="D17">
        <v>145.9303839476496</v>
      </c>
      <c r="E17">
        <v>13.17307692307692</v>
      </c>
      <c r="F17">
        <v>0.68854484113896719</v>
      </c>
      <c r="G17">
        <v>0.7086066460099848</v>
      </c>
      <c r="H17">
        <v>0.38511904761904758</v>
      </c>
      <c r="I17">
        <v>0.49902442310266121</v>
      </c>
      <c r="J17">
        <v>802</v>
      </c>
      <c r="K17">
        <v>199</v>
      </c>
      <c r="L17">
        <v>0.32756489493201479</v>
      </c>
      <c r="M17" t="s">
        <v>15</v>
      </c>
    </row>
    <row r="18" spans="1:15" x14ac:dyDescent="0.35">
      <c r="A18" t="s">
        <v>19</v>
      </c>
      <c r="B18" t="s">
        <v>22</v>
      </c>
      <c r="C18">
        <v>601</v>
      </c>
      <c r="D18">
        <v>15.95014081469157</v>
      </c>
      <c r="E18">
        <v>12.407653910149749</v>
      </c>
      <c r="F18">
        <v>0.74172787724364264</v>
      </c>
      <c r="G18">
        <v>0.94828606720017672</v>
      </c>
      <c r="H18">
        <v>0.43453836150845249</v>
      </c>
      <c r="I18">
        <v>0.59597829677809999</v>
      </c>
      <c r="J18">
        <v>359</v>
      </c>
      <c r="K18">
        <v>15</v>
      </c>
      <c r="L18">
        <v>0.51236749116607772</v>
      </c>
      <c r="M18" t="s">
        <v>15</v>
      </c>
      <c r="N18" t="s">
        <v>35</v>
      </c>
      <c r="O18" t="s">
        <v>36</v>
      </c>
    </row>
    <row r="19" spans="1:15" x14ac:dyDescent="0.35">
      <c r="A19" t="s">
        <v>20</v>
      </c>
      <c r="B19" t="s">
        <v>22</v>
      </c>
      <c r="C19">
        <v>1580</v>
      </c>
      <c r="D19">
        <v>78.84267651928036</v>
      </c>
      <c r="E19">
        <v>12.94240506329114</v>
      </c>
      <c r="F19">
        <v>0.76850836507751052</v>
      </c>
      <c r="G19">
        <v>0.73401399311189708</v>
      </c>
      <c r="H19">
        <v>0.41705615708011368</v>
      </c>
      <c r="I19">
        <v>0.53189643595433678</v>
      </c>
      <c r="J19">
        <v>719</v>
      </c>
      <c r="K19">
        <v>147</v>
      </c>
      <c r="L19">
        <v>0.36642335766423362</v>
      </c>
      <c r="M19" t="s">
        <v>15</v>
      </c>
      <c r="N19" s="1">
        <f>AVERAGE(I14:I18)</f>
        <v>0.55624595097605634</v>
      </c>
      <c r="O19" s="1">
        <f>(C14*I14+C15*I15+C16*I16+C17*I17+C18*I18)/C19</f>
        <v>0.55122569070434257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"/>
  <sheetViews>
    <sheetView workbookViewId="0">
      <selection activeCell="N1" sqref="N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35">
      <c r="A2" t="s">
        <v>23</v>
      </c>
      <c r="B2" t="s">
        <v>14</v>
      </c>
      <c r="C2">
        <v>375</v>
      </c>
      <c r="D2">
        <v>129.70944033950619</v>
      </c>
      <c r="E2">
        <v>12.90133333333333</v>
      </c>
      <c r="F2">
        <v>0.52552655922276603</v>
      </c>
      <c r="G2">
        <v>0.83945760817018933</v>
      </c>
      <c r="H2">
        <v>0.4793913713405239</v>
      </c>
      <c r="I2">
        <v>0.61027265473904746</v>
      </c>
      <c r="J2">
        <v>845</v>
      </c>
      <c r="K2">
        <v>57</v>
      </c>
      <c r="L2">
        <v>0.42281879194630873</v>
      </c>
      <c r="M2" t="s">
        <v>15</v>
      </c>
    </row>
    <row r="3" spans="1:15" x14ac:dyDescent="0.35">
      <c r="A3" t="s">
        <v>24</v>
      </c>
      <c r="B3" t="s">
        <v>14</v>
      </c>
      <c r="C3">
        <v>1205</v>
      </c>
      <c r="D3">
        <v>63.012770766098051</v>
      </c>
      <c r="E3">
        <v>12.9551867219917</v>
      </c>
      <c r="F3">
        <v>0.53349471968496021</v>
      </c>
      <c r="G3">
        <v>0.890143700627271</v>
      </c>
      <c r="H3">
        <v>0.34054473480016312</v>
      </c>
      <c r="I3">
        <v>0.49262468345023092</v>
      </c>
      <c r="J3">
        <v>1172</v>
      </c>
      <c r="K3">
        <v>75</v>
      </c>
      <c r="L3">
        <v>0.41867179980750718</v>
      </c>
      <c r="M3" t="s">
        <v>15</v>
      </c>
      <c r="N3" t="s">
        <v>35</v>
      </c>
      <c r="O3" s="3" t="s">
        <v>36</v>
      </c>
    </row>
    <row r="4" spans="1:15" x14ac:dyDescent="0.35">
      <c r="A4" t="s">
        <v>20</v>
      </c>
      <c r="B4" t="s">
        <v>14</v>
      </c>
      <c r="C4">
        <v>1580</v>
      </c>
      <c r="D4">
        <v>78.84267651928036</v>
      </c>
      <c r="E4">
        <v>12.94240506329114</v>
      </c>
      <c r="F4">
        <v>0.53151367768870283</v>
      </c>
      <c r="G4">
        <v>0.89304551241920493</v>
      </c>
      <c r="H4">
        <v>0.36249985340510621</v>
      </c>
      <c r="I4">
        <v>0.51567848705093977</v>
      </c>
      <c r="J4">
        <v>1306</v>
      </c>
      <c r="K4">
        <v>79</v>
      </c>
      <c r="L4">
        <v>0.41724137931034477</v>
      </c>
      <c r="M4" t="s">
        <v>15</v>
      </c>
      <c r="N4" s="1">
        <f>AVERAGE(I2:I3)</f>
        <v>0.55144866909463919</v>
      </c>
      <c r="O4" s="1">
        <f>(C2*I2+C3*I3)/C4</f>
        <v>0.5205474614459944</v>
      </c>
    </row>
    <row r="5" spans="1:15" x14ac:dyDescent="0.35">
      <c r="A5" t="s">
        <v>23</v>
      </c>
      <c r="B5" t="s">
        <v>21</v>
      </c>
      <c r="C5">
        <v>375</v>
      </c>
      <c r="D5">
        <v>129.70944033950619</v>
      </c>
      <c r="E5">
        <v>12.90133333333333</v>
      </c>
      <c r="F5">
        <v>0.83632948046312861</v>
      </c>
      <c r="G5">
        <v>0.9628827751934208</v>
      </c>
      <c r="H5">
        <v>0.33401221995926678</v>
      </c>
      <c r="I5">
        <v>0.49597633502322119</v>
      </c>
      <c r="J5">
        <v>336</v>
      </c>
      <c r="K5">
        <v>9</v>
      </c>
      <c r="L5">
        <v>0.64912280701754399</v>
      </c>
      <c r="M5" t="s">
        <v>15</v>
      </c>
    </row>
    <row r="6" spans="1:15" x14ac:dyDescent="0.35">
      <c r="A6" t="s">
        <v>24</v>
      </c>
      <c r="B6" t="s">
        <v>21</v>
      </c>
      <c r="C6">
        <v>1205</v>
      </c>
      <c r="D6">
        <v>63.012770766098051</v>
      </c>
      <c r="E6">
        <v>12.9551867219917</v>
      </c>
      <c r="F6">
        <v>0.852848053959254</v>
      </c>
      <c r="G6">
        <v>0.96925338853007581</v>
      </c>
      <c r="H6">
        <v>0.37836822127851483</v>
      </c>
      <c r="I6">
        <v>0.54426951588938555</v>
      </c>
      <c r="J6">
        <v>387</v>
      </c>
      <c r="K6">
        <v>7</v>
      </c>
      <c r="L6">
        <v>0.63295880149812744</v>
      </c>
      <c r="M6" t="s">
        <v>15</v>
      </c>
      <c r="N6" t="s">
        <v>35</v>
      </c>
      <c r="O6" s="3" t="s">
        <v>36</v>
      </c>
    </row>
    <row r="7" spans="1:15" x14ac:dyDescent="0.35">
      <c r="A7" t="s">
        <v>20</v>
      </c>
      <c r="B7" t="s">
        <v>21</v>
      </c>
      <c r="C7">
        <v>1580</v>
      </c>
      <c r="D7">
        <v>78.84267651928036</v>
      </c>
      <c r="E7">
        <v>12.94240506329114</v>
      </c>
      <c r="F7">
        <v>0.87173348102372084</v>
      </c>
      <c r="G7">
        <v>0.95820480641733763</v>
      </c>
      <c r="H7">
        <v>0.44984212682879798</v>
      </c>
      <c r="I7" s="1">
        <v>0.61225358030164911</v>
      </c>
      <c r="J7">
        <v>341</v>
      </c>
      <c r="K7">
        <v>6</v>
      </c>
      <c r="L7">
        <v>0.63404255319148939</v>
      </c>
      <c r="M7" t="s">
        <v>15</v>
      </c>
      <c r="N7" s="2">
        <f>AVERAGE(I5:I6)</f>
        <v>0.52012292545630334</v>
      </c>
      <c r="O7" s="2">
        <f>(C5*I5+C6*I6)/C7</f>
        <v>0.53280752675975795</v>
      </c>
    </row>
    <row r="8" spans="1:15" x14ac:dyDescent="0.35">
      <c r="A8" t="s">
        <v>23</v>
      </c>
      <c r="B8" t="s">
        <v>22</v>
      </c>
      <c r="C8">
        <v>375</v>
      </c>
      <c r="D8">
        <v>129.70944033950619</v>
      </c>
      <c r="E8">
        <v>12.90133333333333</v>
      </c>
      <c r="F8">
        <v>0.75427094195204436</v>
      </c>
      <c r="G8">
        <v>0.77934249440223069</v>
      </c>
      <c r="H8">
        <v>0.48228276353276361</v>
      </c>
      <c r="I8">
        <v>0.5958400873394557</v>
      </c>
      <c r="J8">
        <v>373</v>
      </c>
      <c r="K8">
        <v>45</v>
      </c>
      <c r="L8">
        <v>0.45859872611464969</v>
      </c>
      <c r="M8" t="s">
        <v>15</v>
      </c>
    </row>
    <row r="9" spans="1:15" x14ac:dyDescent="0.35">
      <c r="A9" t="s">
        <v>24</v>
      </c>
      <c r="B9" t="s">
        <v>22</v>
      </c>
      <c r="C9">
        <v>1205</v>
      </c>
      <c r="D9">
        <v>63.012770766098051</v>
      </c>
      <c r="E9">
        <v>12.9551867219917</v>
      </c>
      <c r="F9">
        <v>0.71363574295910348</v>
      </c>
      <c r="G9">
        <v>0.76379060155618905</v>
      </c>
      <c r="H9">
        <v>0.38615806708558281</v>
      </c>
      <c r="I9">
        <v>0.51296881399660521</v>
      </c>
      <c r="J9">
        <v>587</v>
      </c>
      <c r="K9">
        <v>77</v>
      </c>
      <c r="L9">
        <v>0.41064638783269958</v>
      </c>
      <c r="M9" t="s">
        <v>15</v>
      </c>
      <c r="N9" t="s">
        <v>35</v>
      </c>
      <c r="O9" s="3" t="s">
        <v>36</v>
      </c>
    </row>
    <row r="10" spans="1:15" x14ac:dyDescent="0.35">
      <c r="A10" t="s">
        <v>20</v>
      </c>
      <c r="B10" t="s">
        <v>22</v>
      </c>
      <c r="C10">
        <v>1580</v>
      </c>
      <c r="D10">
        <v>78.84267651928036</v>
      </c>
      <c r="E10">
        <v>12.94240506329114</v>
      </c>
      <c r="F10">
        <v>0.76632587110018491</v>
      </c>
      <c r="G10">
        <v>0.73216845008180131</v>
      </c>
      <c r="H10">
        <v>0.41681141730435189</v>
      </c>
      <c r="I10">
        <v>0.53121238769549561</v>
      </c>
      <c r="J10">
        <v>719</v>
      </c>
      <c r="K10">
        <v>147</v>
      </c>
      <c r="L10">
        <v>0.36642335766423362</v>
      </c>
      <c r="M10" t="s">
        <v>15</v>
      </c>
      <c r="N10" s="1">
        <f>AVERAGE(I8:I9)</f>
        <v>0.55440445066803046</v>
      </c>
      <c r="O10" s="1">
        <f>(C8*I8+C9*I9)/C10</f>
        <v>0.53263762887228172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4"/>
  <sheetViews>
    <sheetView workbookViewId="0">
      <selection activeCell="N1" sqref="N1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6" x14ac:dyDescent="0.35">
      <c r="A2" t="s">
        <v>25</v>
      </c>
      <c r="B2" t="s">
        <v>14</v>
      </c>
      <c r="C2">
        <v>23</v>
      </c>
      <c r="D2">
        <v>46.448382145732687</v>
      </c>
      <c r="E2">
        <v>11.739130434782609</v>
      </c>
      <c r="F2">
        <v>0.3764386791774228</v>
      </c>
      <c r="G2">
        <v>0.86713188337520941</v>
      </c>
      <c r="H2">
        <v>0.30384167636786957</v>
      </c>
      <c r="I2">
        <v>0.45000299602761179</v>
      </c>
      <c r="J2">
        <v>299</v>
      </c>
      <c r="K2">
        <v>15</v>
      </c>
      <c r="L2">
        <v>0.49377593360995847</v>
      </c>
      <c r="M2" t="s">
        <v>15</v>
      </c>
    </row>
    <row r="3" spans="1:16" x14ac:dyDescent="0.35">
      <c r="A3" t="s">
        <v>26</v>
      </c>
      <c r="B3" t="s">
        <v>14</v>
      </c>
      <c r="C3">
        <v>33</v>
      </c>
      <c r="D3">
        <v>21.724242073512901</v>
      </c>
      <c r="E3">
        <v>13.90909090909091</v>
      </c>
      <c r="F3">
        <v>0.5134275112750224</v>
      </c>
      <c r="G3">
        <v>0.85762655671906574</v>
      </c>
      <c r="H3">
        <v>0.5107033639143731</v>
      </c>
      <c r="I3">
        <v>0.64018590969050571</v>
      </c>
      <c r="J3">
        <v>288</v>
      </c>
      <c r="K3">
        <v>15</v>
      </c>
      <c r="L3">
        <v>0.50877192982456132</v>
      </c>
      <c r="M3" t="s">
        <v>15</v>
      </c>
    </row>
    <row r="4" spans="1:16" x14ac:dyDescent="0.35">
      <c r="A4" t="s">
        <v>27</v>
      </c>
      <c r="B4" t="s">
        <v>14</v>
      </c>
      <c r="C4">
        <v>14</v>
      </c>
      <c r="D4">
        <v>105.84598792989421</v>
      </c>
      <c r="E4">
        <v>12</v>
      </c>
      <c r="F4">
        <v>0.34385441958079921</v>
      </c>
      <c r="G4">
        <v>0.90139961087052023</v>
      </c>
      <c r="H4">
        <v>0.41947565543071158</v>
      </c>
      <c r="I4">
        <v>0.57252217862132182</v>
      </c>
      <c r="J4">
        <v>254</v>
      </c>
      <c r="K4">
        <v>8</v>
      </c>
      <c r="L4">
        <v>0.51758793969849248</v>
      </c>
      <c r="M4" t="s">
        <v>15</v>
      </c>
    </row>
    <row r="5" spans="1:16" x14ac:dyDescent="0.35">
      <c r="A5" t="s">
        <v>28</v>
      </c>
      <c r="B5" t="s">
        <v>14</v>
      </c>
      <c r="C5">
        <v>204</v>
      </c>
      <c r="D5">
        <v>215.14843523057371</v>
      </c>
      <c r="E5">
        <v>12.13725490196078</v>
      </c>
      <c r="F5">
        <v>0.52131231829238112</v>
      </c>
      <c r="G5">
        <v>0.88496913733119809</v>
      </c>
      <c r="H5">
        <v>0.45154845154845158</v>
      </c>
      <c r="I5">
        <v>0.59798157084493875</v>
      </c>
      <c r="J5">
        <v>556</v>
      </c>
      <c r="K5">
        <v>32</v>
      </c>
      <c r="L5">
        <v>0.44537815126050417</v>
      </c>
      <c r="M5" t="s">
        <v>15</v>
      </c>
    </row>
    <row r="6" spans="1:16" x14ac:dyDescent="0.35">
      <c r="A6" t="s">
        <v>29</v>
      </c>
      <c r="B6" t="s">
        <v>14</v>
      </c>
      <c r="C6">
        <v>101</v>
      </c>
      <c r="D6">
        <v>14.69012605427209</v>
      </c>
      <c r="E6">
        <v>14.504950495049499</v>
      </c>
      <c r="F6">
        <v>0.4739524960382977</v>
      </c>
      <c r="G6">
        <v>0.80455475269277399</v>
      </c>
      <c r="H6">
        <v>0.58388454600120265</v>
      </c>
      <c r="I6">
        <v>0.67668365041383161</v>
      </c>
      <c r="J6">
        <v>620</v>
      </c>
      <c r="K6">
        <v>56</v>
      </c>
      <c r="L6">
        <v>0.43925233644859812</v>
      </c>
      <c r="M6" t="s">
        <v>15</v>
      </c>
    </row>
    <row r="7" spans="1:16" x14ac:dyDescent="0.35">
      <c r="A7" t="s">
        <v>30</v>
      </c>
      <c r="B7" t="s">
        <v>14</v>
      </c>
      <c r="C7">
        <v>90</v>
      </c>
      <c r="D7">
        <v>45.045693287037039</v>
      </c>
      <c r="E7">
        <v>14.233333333333331</v>
      </c>
      <c r="F7">
        <v>0.45163998196807342</v>
      </c>
      <c r="G7">
        <v>0.85967388532078182</v>
      </c>
      <c r="H7">
        <v>0.38513513513513509</v>
      </c>
      <c r="I7">
        <v>0.53195407898619251</v>
      </c>
      <c r="J7">
        <v>530</v>
      </c>
      <c r="K7">
        <v>26</v>
      </c>
      <c r="L7">
        <v>0.45011086474501111</v>
      </c>
      <c r="M7" t="s">
        <v>15</v>
      </c>
    </row>
    <row r="8" spans="1:16" x14ac:dyDescent="0.35">
      <c r="A8" t="s">
        <v>31</v>
      </c>
      <c r="B8" t="s">
        <v>14</v>
      </c>
      <c r="C8">
        <v>107</v>
      </c>
      <c r="D8">
        <v>10.12987452405677</v>
      </c>
      <c r="E8">
        <v>11.83177570093458</v>
      </c>
      <c r="F8">
        <v>0.48155951963788102</v>
      </c>
      <c r="G8">
        <v>0.87428898419571599</v>
      </c>
      <c r="H8">
        <v>0.38162650602409642</v>
      </c>
      <c r="I8">
        <v>0.53132850560760458</v>
      </c>
      <c r="J8">
        <v>412</v>
      </c>
      <c r="K8">
        <v>17</v>
      </c>
      <c r="L8">
        <v>0.49397590361445781</v>
      </c>
      <c r="M8" t="s">
        <v>15</v>
      </c>
    </row>
    <row r="9" spans="1:16" x14ac:dyDescent="0.35">
      <c r="A9" t="s">
        <v>32</v>
      </c>
      <c r="B9" t="s">
        <v>14</v>
      </c>
      <c r="C9">
        <v>36</v>
      </c>
      <c r="D9">
        <v>220.31636509773659</v>
      </c>
      <c r="E9">
        <v>17.861111111111111</v>
      </c>
      <c r="F9">
        <v>0.44331769381434938</v>
      </c>
      <c r="G9">
        <v>0.84554219773748751</v>
      </c>
      <c r="H9">
        <v>0.34769463340891921</v>
      </c>
      <c r="I9">
        <v>0.49276133086112522</v>
      </c>
      <c r="J9">
        <v>425</v>
      </c>
      <c r="K9">
        <v>25</v>
      </c>
      <c r="L9">
        <v>0.43869209809264298</v>
      </c>
      <c r="M9" t="s">
        <v>15</v>
      </c>
    </row>
    <row r="10" spans="1:16" x14ac:dyDescent="0.35">
      <c r="A10" t="s">
        <v>33</v>
      </c>
      <c r="B10" t="s">
        <v>14</v>
      </c>
      <c r="C10">
        <v>472</v>
      </c>
      <c r="D10">
        <v>116.0141075457078</v>
      </c>
      <c r="E10">
        <v>13.62076271186441</v>
      </c>
      <c r="F10">
        <v>0.49914488632236997</v>
      </c>
      <c r="G10">
        <v>0.87391749342107394</v>
      </c>
      <c r="H10">
        <v>0.41430635838150293</v>
      </c>
      <c r="I10">
        <v>0.56212214005903083</v>
      </c>
      <c r="J10">
        <v>1033</v>
      </c>
      <c r="K10">
        <v>72</v>
      </c>
      <c r="L10">
        <v>0.4127843986998917</v>
      </c>
      <c r="M10" t="s">
        <v>15</v>
      </c>
    </row>
    <row r="11" spans="1:16" x14ac:dyDescent="0.35">
      <c r="A11" t="s">
        <v>34</v>
      </c>
      <c r="B11" t="s">
        <v>14</v>
      </c>
      <c r="C11">
        <v>500</v>
      </c>
      <c r="D11">
        <v>16.204663796296291</v>
      </c>
      <c r="E11">
        <v>11.984</v>
      </c>
      <c r="F11">
        <v>0.47216548709817752</v>
      </c>
      <c r="G11">
        <v>0.8416107416364933</v>
      </c>
      <c r="H11">
        <v>0.38546863078819182</v>
      </c>
      <c r="I11">
        <v>0.52875885215838458</v>
      </c>
      <c r="J11">
        <v>674</v>
      </c>
      <c r="K11">
        <v>41</v>
      </c>
      <c r="L11">
        <v>0.44947735191637628</v>
      </c>
      <c r="M11" t="s">
        <v>15</v>
      </c>
      <c r="N11" t="s">
        <v>35</v>
      </c>
      <c r="O11" t="s">
        <v>37</v>
      </c>
      <c r="P11" t="s">
        <v>38</v>
      </c>
    </row>
    <row r="12" spans="1:16" x14ac:dyDescent="0.35">
      <c r="A12" t="s">
        <v>20</v>
      </c>
      <c r="B12" t="s">
        <v>14</v>
      </c>
      <c r="C12">
        <v>1580</v>
      </c>
      <c r="D12">
        <v>78.84267651928036</v>
      </c>
      <c r="E12">
        <v>12.94240506329114</v>
      </c>
      <c r="F12">
        <v>0.53817462676732231</v>
      </c>
      <c r="G12">
        <v>0.8879660867618635</v>
      </c>
      <c r="H12">
        <v>0.37645367170353933</v>
      </c>
      <c r="I12">
        <v>0.52874544465428586</v>
      </c>
      <c r="J12">
        <v>1306</v>
      </c>
      <c r="K12">
        <v>79</v>
      </c>
      <c r="L12">
        <v>0.41724137931034477</v>
      </c>
      <c r="M12" t="s">
        <v>15</v>
      </c>
      <c r="N12" s="1">
        <f>AVERAGE(I2:I11)</f>
        <v>0.55843012132705472</v>
      </c>
      <c r="O12" s="1">
        <f>AVERAGE(I2:I7)</f>
        <v>0.57822173076406702</v>
      </c>
      <c r="P12" s="1">
        <f>(C2*I2+C3*I3+C4*I4+C5*I5+C6*I6+C7*I7+C8*I8+C9*I9+C10*I10+C11*I11)/C12</f>
        <v>0.55822361068361459</v>
      </c>
    </row>
    <row r="13" spans="1:16" x14ac:dyDescent="0.35">
      <c r="A13" t="s">
        <v>25</v>
      </c>
      <c r="B13" t="s">
        <v>21</v>
      </c>
      <c r="C13">
        <v>23</v>
      </c>
      <c r="D13">
        <v>46.448382145732687</v>
      </c>
      <c r="E13">
        <v>11.739130434782609</v>
      </c>
      <c r="F13">
        <v>0.66350263707423396</v>
      </c>
      <c r="G13">
        <v>0.98503495787783613</v>
      </c>
      <c r="H13">
        <v>0.17851051733939741</v>
      </c>
      <c r="I13">
        <v>0.30224706068378621</v>
      </c>
      <c r="J13">
        <v>214</v>
      </c>
      <c r="K13">
        <v>4</v>
      </c>
      <c r="L13">
        <v>0.64383561643835607</v>
      </c>
      <c r="M13" t="s">
        <v>15</v>
      </c>
    </row>
    <row r="14" spans="1:16" x14ac:dyDescent="0.35">
      <c r="A14" t="s">
        <v>26</v>
      </c>
      <c r="B14" t="s">
        <v>21</v>
      </c>
      <c r="C14">
        <v>33</v>
      </c>
      <c r="D14">
        <v>21.724242073512901</v>
      </c>
      <c r="E14">
        <v>13.90909090909091</v>
      </c>
      <c r="F14">
        <v>0.77609042676634044</v>
      </c>
      <c r="G14">
        <v>0.98169884329601387</v>
      </c>
      <c r="H14">
        <v>0.22196531791907509</v>
      </c>
      <c r="I14">
        <v>0.36206626877220749</v>
      </c>
      <c r="J14">
        <v>137</v>
      </c>
      <c r="K14">
        <v>2</v>
      </c>
      <c r="L14">
        <v>0.67032967032967028</v>
      </c>
      <c r="M14" t="s">
        <v>15</v>
      </c>
    </row>
    <row r="15" spans="1:16" x14ac:dyDescent="0.35">
      <c r="A15" t="s">
        <v>27</v>
      </c>
      <c r="B15" t="s">
        <v>21</v>
      </c>
      <c r="C15">
        <v>14</v>
      </c>
      <c r="D15">
        <v>105.84598792989421</v>
      </c>
      <c r="E15">
        <v>12</v>
      </c>
      <c r="F15">
        <v>0.58688841496776578</v>
      </c>
      <c r="G15">
        <v>0.96654672669901098</v>
      </c>
      <c r="H15">
        <v>0.20248328557784151</v>
      </c>
      <c r="I15">
        <v>0.33482383656746578</v>
      </c>
      <c r="J15">
        <v>140</v>
      </c>
      <c r="K15">
        <v>4</v>
      </c>
      <c r="L15">
        <v>0.65957446808510634</v>
      </c>
      <c r="M15" t="s">
        <v>15</v>
      </c>
    </row>
    <row r="16" spans="1:16" x14ac:dyDescent="0.35">
      <c r="A16" t="s">
        <v>28</v>
      </c>
      <c r="B16" t="s">
        <v>21</v>
      </c>
      <c r="C16">
        <v>204</v>
      </c>
      <c r="D16">
        <v>215.14843523057371</v>
      </c>
      <c r="E16">
        <v>12.13725490196078</v>
      </c>
      <c r="F16">
        <v>0.75252684991654184</v>
      </c>
      <c r="G16">
        <v>0.95740836351981695</v>
      </c>
      <c r="H16">
        <v>0.33322856918362531</v>
      </c>
      <c r="I16">
        <v>0.494385076106375</v>
      </c>
      <c r="J16">
        <v>315</v>
      </c>
      <c r="K16">
        <v>9</v>
      </c>
      <c r="L16">
        <v>0.62557077625570778</v>
      </c>
      <c r="M16" t="s">
        <v>15</v>
      </c>
    </row>
    <row r="17" spans="1:16" x14ac:dyDescent="0.35">
      <c r="A17" t="s">
        <v>29</v>
      </c>
      <c r="B17" t="s">
        <v>21</v>
      </c>
      <c r="C17">
        <v>101</v>
      </c>
      <c r="D17">
        <v>14.69012605427209</v>
      </c>
      <c r="E17">
        <v>14.504950495049499</v>
      </c>
      <c r="F17">
        <v>0.80688831233665614</v>
      </c>
      <c r="G17">
        <v>0.99602655995976042</v>
      </c>
      <c r="H17">
        <v>0.12689973180256911</v>
      </c>
      <c r="I17">
        <v>0.22511807632318051</v>
      </c>
      <c r="J17">
        <v>196</v>
      </c>
      <c r="K17">
        <v>2</v>
      </c>
      <c r="L17">
        <v>0.60000000000000009</v>
      </c>
      <c r="M17" t="s">
        <v>15</v>
      </c>
    </row>
    <row r="18" spans="1:16" x14ac:dyDescent="0.35">
      <c r="A18" t="s">
        <v>30</v>
      </c>
      <c r="B18" t="s">
        <v>21</v>
      </c>
      <c r="C18">
        <v>90</v>
      </c>
      <c r="D18">
        <v>45.045693287037039</v>
      </c>
      <c r="E18">
        <v>14.233333333333331</v>
      </c>
      <c r="F18">
        <v>0.8359913467185156</v>
      </c>
      <c r="G18">
        <v>0.97896743437633038</v>
      </c>
      <c r="H18">
        <v>0.18711452699497111</v>
      </c>
      <c r="I18">
        <v>0.31417865037787002</v>
      </c>
      <c r="J18">
        <v>217</v>
      </c>
      <c r="K18">
        <v>5</v>
      </c>
      <c r="L18">
        <v>0.63758389261744963</v>
      </c>
      <c r="M18" t="s">
        <v>15</v>
      </c>
    </row>
    <row r="19" spans="1:16" x14ac:dyDescent="0.35">
      <c r="A19" t="s">
        <v>31</v>
      </c>
      <c r="B19" t="s">
        <v>21</v>
      </c>
      <c r="C19">
        <v>107</v>
      </c>
      <c r="D19">
        <v>10.12987452405677</v>
      </c>
      <c r="E19">
        <v>11.83177570093458</v>
      </c>
      <c r="F19">
        <v>0.7939127281859828</v>
      </c>
      <c r="G19">
        <v>0.93010550590259522</v>
      </c>
      <c r="H19">
        <v>0.31656060381826262</v>
      </c>
      <c r="I19">
        <v>0.47235544187391648</v>
      </c>
      <c r="J19">
        <v>134</v>
      </c>
      <c r="K19">
        <v>6</v>
      </c>
      <c r="L19">
        <v>0.61702127659574468</v>
      </c>
      <c r="M19" t="s">
        <v>15</v>
      </c>
    </row>
    <row r="20" spans="1:16" x14ac:dyDescent="0.35">
      <c r="A20" t="s">
        <v>32</v>
      </c>
      <c r="B20" t="s">
        <v>21</v>
      </c>
      <c r="C20">
        <v>36</v>
      </c>
      <c r="D20">
        <v>220.31636509773659</v>
      </c>
      <c r="E20">
        <v>17.861111111111111</v>
      </c>
      <c r="F20">
        <v>0.74336044897267017</v>
      </c>
      <c r="G20">
        <v>0.99492236257852418</v>
      </c>
      <c r="H20">
        <v>0.13279518835074389</v>
      </c>
      <c r="I20">
        <v>0.23431559156654291</v>
      </c>
      <c r="J20">
        <v>178</v>
      </c>
      <c r="K20">
        <v>4</v>
      </c>
      <c r="L20">
        <v>0.6393442622950819</v>
      </c>
      <c r="M20" t="s">
        <v>15</v>
      </c>
    </row>
    <row r="21" spans="1:16" x14ac:dyDescent="0.35">
      <c r="A21" t="s">
        <v>33</v>
      </c>
      <c r="B21" t="s">
        <v>21</v>
      </c>
      <c r="C21">
        <v>472</v>
      </c>
      <c r="D21">
        <v>116.0141075457078</v>
      </c>
      <c r="E21">
        <v>13.62076271186441</v>
      </c>
      <c r="F21">
        <v>0.7761597633494115</v>
      </c>
      <c r="G21">
        <v>0.96697245742014304</v>
      </c>
      <c r="H21">
        <v>0.39100730854782328</v>
      </c>
      <c r="I21">
        <v>0.55684673290580344</v>
      </c>
      <c r="J21">
        <v>467</v>
      </c>
      <c r="K21">
        <v>12</v>
      </c>
      <c r="L21">
        <v>0.64263322884012541</v>
      </c>
      <c r="M21" t="s">
        <v>15</v>
      </c>
    </row>
    <row r="22" spans="1:16" x14ac:dyDescent="0.35">
      <c r="A22" t="s">
        <v>34</v>
      </c>
      <c r="B22" t="s">
        <v>21</v>
      </c>
      <c r="C22">
        <v>500</v>
      </c>
      <c r="D22">
        <v>16.204663796296291</v>
      </c>
      <c r="E22">
        <v>11.984</v>
      </c>
      <c r="F22">
        <v>0.87373429806650371</v>
      </c>
      <c r="G22">
        <v>0.94256903712013806</v>
      </c>
      <c r="H22">
        <v>0.37510280050209932</v>
      </c>
      <c r="I22">
        <v>0.53664391299177627</v>
      </c>
      <c r="J22">
        <v>173</v>
      </c>
      <c r="K22">
        <v>5</v>
      </c>
      <c r="L22">
        <v>0.66956521739130437</v>
      </c>
      <c r="M22" t="s">
        <v>15</v>
      </c>
      <c r="N22" t="s">
        <v>35</v>
      </c>
      <c r="O22" t="s">
        <v>37</v>
      </c>
      <c r="P22" t="s">
        <v>38</v>
      </c>
    </row>
    <row r="23" spans="1:16" x14ac:dyDescent="0.35">
      <c r="A23" t="s">
        <v>20</v>
      </c>
      <c r="B23" t="s">
        <v>21</v>
      </c>
      <c r="C23">
        <v>1580</v>
      </c>
      <c r="D23">
        <v>78.84267651928036</v>
      </c>
      <c r="E23">
        <v>12.94240506329114</v>
      </c>
      <c r="F23">
        <v>0.87173348102372084</v>
      </c>
      <c r="G23">
        <v>0.95820480641733763</v>
      </c>
      <c r="H23">
        <v>0.44984212682879798</v>
      </c>
      <c r="I23" s="1">
        <v>0.61225358030164911</v>
      </c>
      <c r="J23">
        <v>341</v>
      </c>
      <c r="K23">
        <v>6</v>
      </c>
      <c r="L23">
        <v>0.63404255319148939</v>
      </c>
      <c r="M23" t="s">
        <v>15</v>
      </c>
      <c r="N23">
        <f>AVERAGE(I13:I22)</f>
        <v>0.38329806481689238</v>
      </c>
      <c r="O23">
        <f>AVERAGE(I13:I18)</f>
        <v>0.33880316147181416</v>
      </c>
      <c r="P23" s="2">
        <f>(C13*I13+C14*I14+C15*I15+C16*I16+C17*I17+C18*I18+C19*I19+C20*I20+C21*I21+C22*I22)/C23</f>
        <v>0.48454808275306099</v>
      </c>
    </row>
    <row r="24" spans="1:16" x14ac:dyDescent="0.35">
      <c r="A24" t="s">
        <v>25</v>
      </c>
      <c r="B24" t="s">
        <v>22</v>
      </c>
      <c r="C24">
        <v>23</v>
      </c>
      <c r="D24">
        <v>46.448382145732687</v>
      </c>
      <c r="E24">
        <v>11.739130434782609</v>
      </c>
      <c r="F24">
        <v>0.55480191858825079</v>
      </c>
      <c r="G24">
        <v>0.90818188483125484</v>
      </c>
      <c r="H24">
        <v>0.51977401129943501</v>
      </c>
      <c r="I24">
        <v>0.66115395096911278</v>
      </c>
      <c r="J24">
        <v>169</v>
      </c>
      <c r="K24">
        <v>1</v>
      </c>
      <c r="L24">
        <v>0.63793103448275867</v>
      </c>
      <c r="M24" t="s">
        <v>15</v>
      </c>
    </row>
    <row r="25" spans="1:16" x14ac:dyDescent="0.35">
      <c r="A25" t="s">
        <v>26</v>
      </c>
      <c r="B25" t="s">
        <v>22</v>
      </c>
      <c r="C25">
        <v>33</v>
      </c>
      <c r="D25">
        <v>21.724242073512901</v>
      </c>
      <c r="E25">
        <v>13.90909090909091</v>
      </c>
      <c r="F25">
        <v>0.62457965138054539</v>
      </c>
      <c r="G25">
        <v>0.91676575505350777</v>
      </c>
      <c r="H25">
        <v>0.68484848484848482</v>
      </c>
      <c r="I25">
        <v>0.78401605413772013</v>
      </c>
      <c r="J25">
        <v>148</v>
      </c>
      <c r="K25">
        <v>0</v>
      </c>
      <c r="L25">
        <v>0.67346938775510201</v>
      </c>
      <c r="M25" t="s">
        <v>15</v>
      </c>
    </row>
    <row r="26" spans="1:16" x14ac:dyDescent="0.35">
      <c r="A26" t="s">
        <v>27</v>
      </c>
      <c r="B26" t="s">
        <v>22</v>
      </c>
      <c r="C26">
        <v>14</v>
      </c>
      <c r="D26">
        <v>105.84598792989421</v>
      </c>
      <c r="E26">
        <v>12</v>
      </c>
      <c r="F26">
        <v>0.47433057384190258</v>
      </c>
      <c r="G26">
        <v>0.89419795221843001</v>
      </c>
      <c r="H26">
        <v>0.62295081967213117</v>
      </c>
      <c r="I26">
        <v>0.73432659684319224</v>
      </c>
      <c r="J26">
        <v>143</v>
      </c>
      <c r="K26">
        <v>0</v>
      </c>
      <c r="L26">
        <v>0.64948453608247425</v>
      </c>
      <c r="M26" t="s">
        <v>15</v>
      </c>
    </row>
    <row r="27" spans="1:16" x14ac:dyDescent="0.35">
      <c r="A27" t="s">
        <v>28</v>
      </c>
      <c r="B27" t="s">
        <v>22</v>
      </c>
      <c r="C27">
        <v>204</v>
      </c>
      <c r="D27">
        <v>215.14843523057371</v>
      </c>
      <c r="E27">
        <v>12.13725490196078</v>
      </c>
      <c r="F27">
        <v>0.76117787389331415</v>
      </c>
      <c r="G27">
        <v>0.8607858921959658</v>
      </c>
      <c r="H27">
        <v>0.50516478111165763</v>
      </c>
      <c r="I27">
        <v>0.63668289831026526</v>
      </c>
      <c r="J27">
        <v>316</v>
      </c>
      <c r="K27">
        <v>27</v>
      </c>
      <c r="L27">
        <v>0.49606299212598431</v>
      </c>
      <c r="M27" t="s">
        <v>15</v>
      </c>
    </row>
    <row r="28" spans="1:16" x14ac:dyDescent="0.35">
      <c r="A28" t="s">
        <v>29</v>
      </c>
      <c r="B28" t="s">
        <v>22</v>
      </c>
      <c r="C28">
        <v>101</v>
      </c>
      <c r="D28">
        <v>14.69012605427209</v>
      </c>
      <c r="E28">
        <v>14.504950495049499</v>
      </c>
      <c r="F28">
        <v>0.7434143828348253</v>
      </c>
      <c r="G28">
        <v>0.90939226519337013</v>
      </c>
      <c r="H28">
        <v>0.61771844660194175</v>
      </c>
      <c r="I28">
        <v>0.73570091947906424</v>
      </c>
      <c r="J28">
        <v>201</v>
      </c>
      <c r="K28">
        <v>0</v>
      </c>
      <c r="L28">
        <v>0.61702127659574468</v>
      </c>
      <c r="M28" t="s">
        <v>15</v>
      </c>
    </row>
    <row r="29" spans="1:16" x14ac:dyDescent="0.35">
      <c r="A29" t="s">
        <v>30</v>
      </c>
      <c r="B29" t="s">
        <v>22</v>
      </c>
      <c r="C29">
        <v>90</v>
      </c>
      <c r="D29">
        <v>45.045693287037039</v>
      </c>
      <c r="E29">
        <v>14.233333333333331</v>
      </c>
      <c r="F29">
        <v>0.6694714017864396</v>
      </c>
      <c r="G29">
        <v>0.81989182814501538</v>
      </c>
      <c r="H29">
        <v>0.36012285641156888</v>
      </c>
      <c r="I29">
        <v>0.50043747923533177</v>
      </c>
      <c r="J29">
        <v>335</v>
      </c>
      <c r="K29">
        <v>28</v>
      </c>
      <c r="L29">
        <v>0.4642857142857143</v>
      </c>
      <c r="M29" t="s">
        <v>15</v>
      </c>
    </row>
    <row r="30" spans="1:16" x14ac:dyDescent="0.35">
      <c r="A30" t="s">
        <v>31</v>
      </c>
      <c r="B30" t="s">
        <v>22</v>
      </c>
      <c r="C30">
        <v>107</v>
      </c>
      <c r="D30">
        <v>10.12987452405677</v>
      </c>
      <c r="E30">
        <v>11.83177570093458</v>
      </c>
      <c r="F30">
        <v>0.59676082105818307</v>
      </c>
      <c r="G30">
        <v>0.84293612934601492</v>
      </c>
      <c r="H30">
        <v>0.44838104176442978</v>
      </c>
      <c r="I30">
        <v>0.58538148221482322</v>
      </c>
      <c r="J30">
        <v>294</v>
      </c>
      <c r="K30">
        <v>28</v>
      </c>
      <c r="L30">
        <v>0.44444444444444442</v>
      </c>
      <c r="M30" t="s">
        <v>15</v>
      </c>
    </row>
    <row r="31" spans="1:16" x14ac:dyDescent="0.35">
      <c r="A31" t="s">
        <v>32</v>
      </c>
      <c r="B31" t="s">
        <v>22</v>
      </c>
      <c r="C31">
        <v>36</v>
      </c>
      <c r="D31">
        <v>220.31636509773659</v>
      </c>
      <c r="E31">
        <v>17.861111111111111</v>
      </c>
      <c r="F31">
        <v>0.60491701133478248</v>
      </c>
      <c r="G31">
        <v>0.93390804597701149</v>
      </c>
      <c r="H31">
        <v>0.38735177865612652</v>
      </c>
      <c r="I31">
        <v>0.54758486705808529</v>
      </c>
      <c r="J31">
        <v>248</v>
      </c>
      <c r="K31">
        <v>1</v>
      </c>
      <c r="L31">
        <v>0.55080213903743314</v>
      </c>
      <c r="M31" t="s">
        <v>15</v>
      </c>
    </row>
    <row r="32" spans="1:16" x14ac:dyDescent="0.35">
      <c r="A32" t="s">
        <v>33</v>
      </c>
      <c r="B32" t="s">
        <v>22</v>
      </c>
      <c r="C32">
        <v>472</v>
      </c>
      <c r="D32">
        <v>116.0141075457078</v>
      </c>
      <c r="E32">
        <v>13.62076271186441</v>
      </c>
      <c r="F32">
        <v>0.65858957230451509</v>
      </c>
      <c r="G32">
        <v>0.73954889817095804</v>
      </c>
      <c r="H32">
        <v>0.40225153322691748</v>
      </c>
      <c r="I32">
        <v>0.521079989120941</v>
      </c>
      <c r="J32">
        <v>705</v>
      </c>
      <c r="K32">
        <v>133</v>
      </c>
      <c r="L32">
        <v>0.37878787878787878</v>
      </c>
      <c r="M32" t="s">
        <v>15</v>
      </c>
    </row>
    <row r="33" spans="1:16" x14ac:dyDescent="0.35">
      <c r="A33" t="s">
        <v>34</v>
      </c>
      <c r="B33" t="s">
        <v>22</v>
      </c>
      <c r="C33">
        <v>500</v>
      </c>
      <c r="D33">
        <v>16.204663796296291</v>
      </c>
      <c r="E33">
        <v>11.984</v>
      </c>
      <c r="F33">
        <v>0.75531696148550764</v>
      </c>
      <c r="G33">
        <v>0.95014887172505536</v>
      </c>
      <c r="H33">
        <v>0.46372027218217338</v>
      </c>
      <c r="I33">
        <v>0.6232589420437028</v>
      </c>
      <c r="J33">
        <v>321</v>
      </c>
      <c r="K33">
        <v>13</v>
      </c>
      <c r="L33">
        <v>0.52610441767068272</v>
      </c>
      <c r="M33" t="s">
        <v>15</v>
      </c>
      <c r="N33" t="s">
        <v>35</v>
      </c>
      <c r="O33" t="s">
        <v>37</v>
      </c>
      <c r="P33" t="s">
        <v>38</v>
      </c>
    </row>
    <row r="34" spans="1:16" x14ac:dyDescent="0.35">
      <c r="A34" t="s">
        <v>20</v>
      </c>
      <c r="B34" t="s">
        <v>22</v>
      </c>
      <c r="C34">
        <v>1580</v>
      </c>
      <c r="D34">
        <v>78.84267651928036</v>
      </c>
      <c r="E34">
        <v>12.94240506329114</v>
      </c>
      <c r="F34">
        <v>0.76145427935272059</v>
      </c>
      <c r="G34">
        <v>0.73099781182081358</v>
      </c>
      <c r="H34">
        <v>0.41531984563208979</v>
      </c>
      <c r="I34">
        <v>0.52969243976823066</v>
      </c>
      <c r="J34">
        <v>719</v>
      </c>
      <c r="K34">
        <v>147</v>
      </c>
      <c r="L34">
        <v>0.36642335766423362</v>
      </c>
      <c r="M34" t="s">
        <v>15</v>
      </c>
      <c r="N34" s="1">
        <f>AVERAGE(I24:I33)</f>
        <v>0.63296231794122393</v>
      </c>
      <c r="O34" s="1">
        <f>AVERAGE(I24:I29)</f>
        <v>0.67538631649578118</v>
      </c>
      <c r="P34" s="1">
        <f>(C24*I24+C25*I25+C26*I26+C27*I27+C28*I28+C29*I29+C30*I30+C31*I31+C32*I32+C33*I33)/C34</f>
        <v>0.59526343035855134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commit_categories</vt:lpstr>
      <vt:lpstr>anomaly_normal</vt:lpstr>
      <vt:lpstr>anomaly_categories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Choopannezhad Mahsa</cp:lastModifiedBy>
  <dcterms:created xsi:type="dcterms:W3CDTF">2026-08-25T14:45:47Z</dcterms:created>
  <dcterms:modified xsi:type="dcterms:W3CDTF">2026-08-25T15:00:43Z</dcterms:modified>
</cp:coreProperties>
</file>