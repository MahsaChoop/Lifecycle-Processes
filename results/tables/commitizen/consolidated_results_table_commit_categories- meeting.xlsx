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commitizen/"/>
    </mc:Choice>
  </mc:AlternateContent>
  <xr:revisionPtr revIDLastSave="0" documentId="8_{A779BB35-93A5-4C32-82C1-8578C89A21C5}" xr6:coauthVersionLast="47" xr6:coauthVersionMax="47" xr10:uidLastSave="{00000000-0000-0000-0000-000000000000}"/>
  <bookViews>
    <workbookView xWindow="-110" yWindow="-110" windowWidth="19420" windowHeight="11500" xr2:uid="{F0BE1A52-BDD2-4679-97D4-63A3668482CE}"/>
  </bookViews>
  <sheets>
    <sheet name="consolidated_results_table_comm" sheetId="1" r:id="rId1"/>
  </sheets>
  <calcPr calcId="0"/>
</workbook>
</file>

<file path=xl/calcChain.xml><?xml version="1.0" encoding="utf-8"?>
<calcChain xmlns="http://schemas.openxmlformats.org/spreadsheetml/2006/main">
  <c r="O12" i="1" l="1"/>
  <c r="N18" i="1"/>
  <c r="N12" i="1"/>
  <c r="N6" i="1"/>
</calcChain>
</file>

<file path=xl/sharedStrings.xml><?xml version="1.0" encoding="utf-8"?>
<sst xmlns="http://schemas.openxmlformats.org/spreadsheetml/2006/main" count="70" uniqueCount="26">
  <si>
    <t>log_name</t>
  </si>
  <si>
    <t>discovery_method</t>
  </si>
  <si>
    <t>n_cases</t>
  </si>
  <si>
    <t>avg_cycle_time_days</t>
  </si>
  <si>
    <t>avg_trace_length</t>
  </si>
  <si>
    <t>generalization</t>
  </si>
  <si>
    <t>fitness</t>
  </si>
  <si>
    <t>precision</t>
  </si>
  <si>
    <t>f_score</t>
  </si>
  <si>
    <t>size</t>
  </si>
  <si>
    <t>cfc</t>
  </si>
  <si>
    <t>simplicity</t>
  </si>
  <si>
    <t>status</t>
  </si>
  <si>
    <t>error</t>
  </si>
  <si>
    <t>bug_fixes</t>
  </si>
  <si>
    <t>heuristics_dep_0.5</t>
  </si>
  <si>
    <t>ok</t>
  </si>
  <si>
    <t>docs</t>
  </si>
  <si>
    <t>feature_work</t>
  </si>
  <si>
    <t>other</t>
  </si>
  <si>
    <t>tech_debt</t>
  </si>
  <si>
    <t>whole</t>
  </si>
  <si>
    <t>inductive_IMf_noise_0.3</t>
  </si>
  <si>
    <t>split_miner_eps_0.2_eta_0.5</t>
  </si>
  <si>
    <t>wighted average</t>
  </si>
  <si>
    <t>nise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</si>
</sst>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B4AB-6570-4885-9445-DAEC163011C6}">
  <dimension ref="A1:O19"/>
  <sheetViews>
    <sheetView tabSelected="1" workbookViewId="0">
      <selection activeCell="C8" sqref="C8:C12"/>
    </sheetView>
  </sheetViews>
  <sheetFormatPr defaultRowHeight="14.5" x14ac:dyDescent="0.35"/>
  <cols>
    <col min="1" max="1" width="11.26953125" bestFit="1" customWidth="1"/>
    <col min="2" max="2" width="23.90625" bestFit="1" customWidth="1"/>
    <col min="4" max="4" width="17.81640625" bestFit="1" customWidth="1"/>
    <col min="5" max="5" width="14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5">
      <c r="A2" t="s">
        <v>14</v>
      </c>
      <c r="B2" t="s">
        <v>15</v>
      </c>
      <c r="C2">
        <v>149</v>
      </c>
      <c r="D2">
        <v>41.602268829231903</v>
      </c>
      <c r="E2">
        <v>15.865771812080499</v>
      </c>
      <c r="F2">
        <v>0.50353650223909097</v>
      </c>
      <c r="G2">
        <v>0.88524828017510904</v>
      </c>
      <c r="H2">
        <v>0.31335311572700297</v>
      </c>
      <c r="I2">
        <v>0.46286498202526</v>
      </c>
      <c r="J2">
        <v>658</v>
      </c>
      <c r="K2">
        <v>38</v>
      </c>
      <c r="L2">
        <v>0.42956521739130399</v>
      </c>
      <c r="M2" t="s">
        <v>16</v>
      </c>
    </row>
    <row r="3" spans="1:15" x14ac:dyDescent="0.35">
      <c r="A3" t="s">
        <v>17</v>
      </c>
      <c r="B3" t="s">
        <v>15</v>
      </c>
      <c r="C3">
        <v>174</v>
      </c>
      <c r="D3">
        <v>21.8926182018944</v>
      </c>
      <c r="E3">
        <v>13.747126436781601</v>
      </c>
      <c r="F3">
        <v>0.48664314843108603</v>
      </c>
      <c r="G3">
        <v>0.86719191701703902</v>
      </c>
      <c r="H3">
        <v>0.36541095890410902</v>
      </c>
      <c r="I3">
        <v>0.51416629985432605</v>
      </c>
      <c r="J3">
        <v>620</v>
      </c>
      <c r="K3">
        <v>43</v>
      </c>
      <c r="L3">
        <v>0.44360902255639001</v>
      </c>
      <c r="M3" t="s">
        <v>16</v>
      </c>
    </row>
    <row r="4" spans="1:15" x14ac:dyDescent="0.35">
      <c r="A4" t="s">
        <v>18</v>
      </c>
      <c r="B4" t="s">
        <v>15</v>
      </c>
      <c r="C4">
        <v>83</v>
      </c>
      <c r="D4">
        <v>138.49009273203899</v>
      </c>
      <c r="E4">
        <v>19.433734939758999</v>
      </c>
      <c r="F4">
        <v>0.48211491234958598</v>
      </c>
      <c r="G4">
        <v>0.87323153571576295</v>
      </c>
      <c r="H4">
        <v>0.398867313915857</v>
      </c>
      <c r="I4">
        <v>0.54760448400441297</v>
      </c>
      <c r="J4">
        <v>610</v>
      </c>
      <c r="K4">
        <v>39</v>
      </c>
      <c r="L4">
        <v>0.43833017077798803</v>
      </c>
      <c r="M4" t="s">
        <v>16</v>
      </c>
    </row>
    <row r="5" spans="1:15" x14ac:dyDescent="0.35">
      <c r="A5" t="s">
        <v>19</v>
      </c>
      <c r="B5" t="s">
        <v>15</v>
      </c>
      <c r="C5">
        <v>364</v>
      </c>
      <c r="D5">
        <v>93.397712021774495</v>
      </c>
      <c r="E5">
        <v>10.2912087912087</v>
      </c>
      <c r="F5">
        <v>0.49075119335568801</v>
      </c>
      <c r="G5">
        <v>0.85795453094719498</v>
      </c>
      <c r="H5">
        <v>0.39565627950896998</v>
      </c>
      <c r="I5">
        <v>0.54156376902797998</v>
      </c>
      <c r="J5">
        <v>673</v>
      </c>
      <c r="K5">
        <v>40</v>
      </c>
      <c r="L5">
        <v>0.45518453427064998</v>
      </c>
      <c r="M5" t="s">
        <v>16</v>
      </c>
    </row>
    <row r="6" spans="1:15" x14ac:dyDescent="0.35">
      <c r="A6" t="s">
        <v>20</v>
      </c>
      <c r="B6" t="s">
        <v>15</v>
      </c>
      <c r="C6">
        <v>651</v>
      </c>
      <c r="D6">
        <v>19.050481826392399</v>
      </c>
      <c r="E6">
        <v>13.1228878648233</v>
      </c>
      <c r="F6">
        <v>0.522469247370699</v>
      </c>
      <c r="G6">
        <v>0.87009850165789304</v>
      </c>
      <c r="H6">
        <v>0.44051265136879802</v>
      </c>
      <c r="I6">
        <v>0.58490177965017098</v>
      </c>
      <c r="J6">
        <v>800</v>
      </c>
      <c r="K6">
        <v>50</v>
      </c>
      <c r="L6">
        <v>0.435158501440922</v>
      </c>
      <c r="M6" t="s">
        <v>16</v>
      </c>
      <c r="N6">
        <f>AVERAGE(I2:I6)</f>
        <v>0.53022026291242996</v>
      </c>
    </row>
    <row r="7" spans="1:15" s="1" customFormat="1" x14ac:dyDescent="0.35">
      <c r="A7" s="1" t="s">
        <v>21</v>
      </c>
      <c r="B7" s="1" t="s">
        <v>15</v>
      </c>
      <c r="C7" s="1">
        <v>1235</v>
      </c>
      <c r="D7" s="1">
        <v>43.724700882816002</v>
      </c>
      <c r="E7" s="1">
        <v>12.2275303643724</v>
      </c>
      <c r="F7" s="1">
        <v>0.54428545381048099</v>
      </c>
      <c r="G7" s="1">
        <v>0.87450780994037203</v>
      </c>
      <c r="H7" s="1">
        <v>0.37315132629980502</v>
      </c>
      <c r="I7" s="1">
        <v>0.52309759879154905</v>
      </c>
      <c r="J7" s="1">
        <v>1126</v>
      </c>
      <c r="K7" s="1">
        <v>73</v>
      </c>
      <c r="L7" s="1">
        <v>0.42110552763818998</v>
      </c>
      <c r="M7" s="1" t="s">
        <v>16</v>
      </c>
    </row>
    <row r="8" spans="1:15" x14ac:dyDescent="0.35">
      <c r="A8" t="s">
        <v>14</v>
      </c>
      <c r="B8" t="s">
        <v>22</v>
      </c>
      <c r="C8">
        <v>149</v>
      </c>
      <c r="D8">
        <v>41.602268829231903</v>
      </c>
      <c r="E8">
        <v>15.865771812080499</v>
      </c>
      <c r="F8">
        <v>0.67122617810695395</v>
      </c>
      <c r="G8">
        <v>0.940245848049164</v>
      </c>
      <c r="H8">
        <v>0.31504828326180201</v>
      </c>
      <c r="I8">
        <v>0.47195765977582699</v>
      </c>
      <c r="J8">
        <v>327</v>
      </c>
      <c r="K8">
        <v>9</v>
      </c>
      <c r="L8">
        <v>0.66210045662100403</v>
      </c>
      <c r="M8" t="s">
        <v>16</v>
      </c>
      <c r="N8" t="s">
        <v>25</v>
      </c>
      <c r="O8">
        <v>0.2</v>
      </c>
    </row>
    <row r="9" spans="1:15" x14ac:dyDescent="0.35">
      <c r="A9" t="s">
        <v>17</v>
      </c>
      <c r="B9" t="s">
        <v>22</v>
      </c>
      <c r="C9">
        <v>174</v>
      </c>
      <c r="D9">
        <v>21.8926182018944</v>
      </c>
      <c r="E9">
        <v>13.747126436781601</v>
      </c>
      <c r="F9">
        <v>0.79573873656810501</v>
      </c>
      <c r="G9">
        <v>0.90499877540334195</v>
      </c>
      <c r="H9">
        <v>0.27827992330868201</v>
      </c>
      <c r="I9">
        <v>0.42566977684601198</v>
      </c>
      <c r="J9">
        <v>192</v>
      </c>
      <c r="K9">
        <v>7</v>
      </c>
      <c r="L9">
        <v>0.63636363636363602</v>
      </c>
      <c r="M9" t="s">
        <v>16</v>
      </c>
      <c r="O9" t="s">
        <v>24</v>
      </c>
    </row>
    <row r="10" spans="1:15" x14ac:dyDescent="0.35">
      <c r="A10" t="s">
        <v>18</v>
      </c>
      <c r="B10" t="s">
        <v>22</v>
      </c>
      <c r="C10">
        <v>83</v>
      </c>
      <c r="D10">
        <v>138.49009273203899</v>
      </c>
      <c r="E10">
        <v>19.433734939758999</v>
      </c>
      <c r="F10">
        <v>0.72458593692728201</v>
      </c>
      <c r="G10">
        <v>0.94420354038788701</v>
      </c>
      <c r="H10">
        <v>0.101790147654514</v>
      </c>
      <c r="I10" s="2">
        <v>0.18376902057960001</v>
      </c>
      <c r="J10">
        <v>303</v>
      </c>
      <c r="K10">
        <v>7</v>
      </c>
      <c r="L10">
        <v>0.64251207729468596</v>
      </c>
      <c r="M10" t="s">
        <v>16</v>
      </c>
    </row>
    <row r="11" spans="1:15" x14ac:dyDescent="0.35">
      <c r="A11" t="s">
        <v>19</v>
      </c>
      <c r="B11" t="s">
        <v>22</v>
      </c>
      <c r="C11">
        <v>364</v>
      </c>
      <c r="D11">
        <v>93.397712021774495</v>
      </c>
      <c r="E11">
        <v>10.2912087912087</v>
      </c>
      <c r="F11">
        <v>0.75745867670158995</v>
      </c>
      <c r="G11">
        <v>0.94382634155465195</v>
      </c>
      <c r="H11">
        <v>0.40214570858283399</v>
      </c>
      <c r="I11">
        <v>0.56398751053540697</v>
      </c>
      <c r="J11">
        <v>325</v>
      </c>
      <c r="K11">
        <v>7</v>
      </c>
      <c r="L11">
        <v>0.64705882352941102</v>
      </c>
      <c r="M11" t="s">
        <v>16</v>
      </c>
    </row>
    <row r="12" spans="1:15" x14ac:dyDescent="0.35">
      <c r="A12" t="s">
        <v>20</v>
      </c>
      <c r="B12" t="s">
        <v>22</v>
      </c>
      <c r="C12">
        <v>651</v>
      </c>
      <c r="D12">
        <v>19.050481826392399</v>
      </c>
      <c r="E12">
        <v>13.1228878648233</v>
      </c>
      <c r="F12">
        <v>0.86878216541558095</v>
      </c>
      <c r="G12">
        <v>0.88316886536892103</v>
      </c>
      <c r="H12">
        <v>0.383767653489334</v>
      </c>
      <c r="I12">
        <v>0.535041240113449</v>
      </c>
      <c r="J12">
        <v>168</v>
      </c>
      <c r="K12">
        <v>6</v>
      </c>
      <c r="L12">
        <v>0.64912280701754399</v>
      </c>
      <c r="M12" t="s">
        <v>16</v>
      </c>
      <c r="N12">
        <f>AVERAGE(I8:I12)</f>
        <v>0.43608504157005895</v>
      </c>
      <c r="O12">
        <f>AVERAGE(I8,I9,I11,I12)</f>
        <v>0.49916404681767373</v>
      </c>
    </row>
    <row r="13" spans="1:15" s="1" customFormat="1" x14ac:dyDescent="0.35">
      <c r="A13" s="1" t="s">
        <v>21</v>
      </c>
      <c r="B13" s="1" t="s">
        <v>22</v>
      </c>
      <c r="C13" s="1">
        <v>1235</v>
      </c>
      <c r="D13" s="1">
        <v>43.724700882816002</v>
      </c>
      <c r="E13" s="1">
        <v>12.2275303643724</v>
      </c>
      <c r="F13" s="1">
        <v>0.74388864991435699</v>
      </c>
      <c r="G13" s="1">
        <v>0.94124856169329896</v>
      </c>
      <c r="H13" s="1">
        <v>0.32280084259925801</v>
      </c>
      <c r="I13" s="1">
        <v>0.480734103869908</v>
      </c>
      <c r="J13" s="1">
        <v>545</v>
      </c>
      <c r="K13" s="1">
        <v>13</v>
      </c>
      <c r="L13" s="1">
        <v>0.64075067024128696</v>
      </c>
      <c r="M13" s="1" t="s">
        <v>16</v>
      </c>
    </row>
    <row r="14" spans="1:15" x14ac:dyDescent="0.35">
      <c r="A14" t="s">
        <v>14</v>
      </c>
      <c r="B14" t="s">
        <v>23</v>
      </c>
      <c r="C14">
        <v>149</v>
      </c>
      <c r="D14">
        <v>41.602268829231903</v>
      </c>
      <c r="E14">
        <v>15.865771812080499</v>
      </c>
      <c r="F14">
        <v>0.68567118379466796</v>
      </c>
      <c r="G14">
        <v>0.85879608986451705</v>
      </c>
      <c r="H14">
        <v>0.34058774604934799</v>
      </c>
      <c r="I14">
        <v>0.487742815610123</v>
      </c>
      <c r="J14">
        <v>393</v>
      </c>
      <c r="K14">
        <v>34</v>
      </c>
      <c r="L14">
        <v>0.47530864197530798</v>
      </c>
      <c r="M14" t="s">
        <v>16</v>
      </c>
    </row>
    <row r="15" spans="1:15" x14ac:dyDescent="0.35">
      <c r="A15" t="s">
        <v>17</v>
      </c>
      <c r="B15" t="s">
        <v>23</v>
      </c>
      <c r="C15">
        <v>174</v>
      </c>
      <c r="D15">
        <v>21.8926182018944</v>
      </c>
      <c r="E15">
        <v>13.747126436781601</v>
      </c>
      <c r="F15">
        <v>0.65058417726075801</v>
      </c>
      <c r="G15">
        <v>0.90006380866576896</v>
      </c>
      <c r="H15">
        <v>0.39375227025063497</v>
      </c>
      <c r="I15">
        <v>0.54784010464516497</v>
      </c>
      <c r="J15">
        <v>362</v>
      </c>
      <c r="K15">
        <v>23</v>
      </c>
      <c r="L15">
        <v>0.48474576271186398</v>
      </c>
      <c r="M15" t="s">
        <v>16</v>
      </c>
    </row>
    <row r="16" spans="1:15" x14ac:dyDescent="0.35">
      <c r="A16" t="s">
        <v>18</v>
      </c>
      <c r="B16" t="s">
        <v>23</v>
      </c>
      <c r="C16">
        <v>83</v>
      </c>
      <c r="D16">
        <v>138.49009273203899</v>
      </c>
      <c r="E16">
        <v>19.433734939758999</v>
      </c>
      <c r="F16">
        <v>0.65904626088712903</v>
      </c>
      <c r="G16">
        <v>0.78309160167250502</v>
      </c>
      <c r="H16">
        <v>0.62670713201820905</v>
      </c>
      <c r="I16">
        <v>0.69622575203615999</v>
      </c>
      <c r="J16">
        <v>427</v>
      </c>
      <c r="K16">
        <v>68</v>
      </c>
      <c r="L16">
        <v>0.40992167101827598</v>
      </c>
      <c r="M16" t="s">
        <v>16</v>
      </c>
    </row>
    <row r="17" spans="1:14" x14ac:dyDescent="0.35">
      <c r="A17" t="s">
        <v>19</v>
      </c>
      <c r="B17" t="s">
        <v>23</v>
      </c>
      <c r="C17">
        <v>364</v>
      </c>
      <c r="D17">
        <v>93.397712021774495</v>
      </c>
      <c r="E17">
        <v>10.2912087912087</v>
      </c>
      <c r="F17">
        <v>0.62442658665806405</v>
      </c>
      <c r="G17">
        <v>0.87580153081205803</v>
      </c>
      <c r="H17">
        <v>0.37356459330143499</v>
      </c>
      <c r="I17">
        <v>0.52373509471089297</v>
      </c>
      <c r="J17">
        <v>404</v>
      </c>
      <c r="K17">
        <v>25</v>
      </c>
      <c r="L17">
        <v>0.49538461538461498</v>
      </c>
      <c r="M17" t="s">
        <v>16</v>
      </c>
    </row>
    <row r="18" spans="1:14" x14ac:dyDescent="0.35">
      <c r="A18" t="s">
        <v>20</v>
      </c>
      <c r="B18" t="s">
        <v>23</v>
      </c>
      <c r="C18">
        <v>651</v>
      </c>
      <c r="D18">
        <v>19.050481826392399</v>
      </c>
      <c r="E18">
        <v>13.1228878648233</v>
      </c>
      <c r="F18">
        <v>0.72359162864331905</v>
      </c>
      <c r="G18">
        <v>0.91828547006885097</v>
      </c>
      <c r="H18">
        <v>0.43685524126455899</v>
      </c>
      <c r="I18">
        <v>0.59205338194281198</v>
      </c>
      <c r="J18">
        <v>365</v>
      </c>
      <c r="K18">
        <v>8</v>
      </c>
      <c r="L18">
        <v>0.54512635379061303</v>
      </c>
      <c r="M18" t="s">
        <v>16</v>
      </c>
      <c r="N18">
        <f>AVERAGE(I14:I18)</f>
        <v>0.56951942978903058</v>
      </c>
    </row>
    <row r="19" spans="1:14" s="1" customFormat="1" x14ac:dyDescent="0.35">
      <c r="A19" s="1" t="s">
        <v>21</v>
      </c>
      <c r="B19" s="1" t="s">
        <v>23</v>
      </c>
      <c r="C19" s="1">
        <v>1235</v>
      </c>
      <c r="D19" s="1">
        <v>43.724700882816002</v>
      </c>
      <c r="E19" s="1">
        <v>12.2275303643724</v>
      </c>
      <c r="F19" s="1">
        <v>0.72239947588386</v>
      </c>
      <c r="G19" s="1">
        <v>0.70981366654107403</v>
      </c>
      <c r="H19" s="1">
        <v>0.32573753814852402</v>
      </c>
      <c r="I19" s="1">
        <v>0.44655050418790698</v>
      </c>
      <c r="J19" s="1">
        <v>675</v>
      </c>
      <c r="K19" s="1">
        <v>118</v>
      </c>
      <c r="L19" s="1">
        <v>0.39482200647249099</v>
      </c>
      <c r="M1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consolidated_results_table_comm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Choopannezhad Mahsa</dc:creator>
  <cp:lastModifiedBy>Choopannezhad Mahsa</cp:lastModifiedBy>
  <dcterms:created xsi:type="dcterms:W3CDTF">2026-08-21T09:26:31Z</dcterms:created>
  <dcterms:modified xsi:type="dcterms:W3CDTF">2026-08-21T09:26:31Z</dcterms:modified>
</cp:coreProperties>
</file>