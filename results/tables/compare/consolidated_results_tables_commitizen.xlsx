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pare/"/>
    </mc:Choice>
  </mc:AlternateContent>
  <xr:revisionPtr revIDLastSave="28" documentId="11_EB556F4FF53328B727DB86B233B6D209BADD7A48" xr6:coauthVersionLast="47" xr6:coauthVersionMax="47" xr10:uidLastSave="{C0A1DBBC-B067-46C3-B42C-2DC1D818BF43}"/>
  <bookViews>
    <workbookView xWindow="-110" yWindow="-110" windowWidth="19420" windowHeight="11500" activeTab="2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3" l="1"/>
  <c r="Q34" i="3"/>
  <c r="R23" i="3"/>
  <c r="Q23" i="3"/>
  <c r="R12" i="3"/>
  <c r="Q12" i="3"/>
  <c r="P12" i="3"/>
  <c r="P34" i="3"/>
  <c r="O34" i="3"/>
  <c r="N34" i="3"/>
  <c r="P23" i="3"/>
  <c r="O23" i="3"/>
  <c r="N23" i="3"/>
  <c r="O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<sst xmlns="http://schemas.openxmlformats.org/spreadsheetml/2006/main" count="243" uniqueCount="41">
  <si>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</si>
  <si>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</si>
  <si>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</si>
  <si>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</si>
  <si>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</si>
  <si>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</si>
  <si>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</si>
  <si>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</si>
  <si>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</si>
  <si>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</si>
  <si>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</si>
  <si>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</si>
  <si>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</si>
  <si>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</si>
  <si>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</si>
  <si>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</si>
  <si>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</si>
  <si>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</si>
  <si>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</si>
  <si>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</si>
  <si>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</si>
  <si>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</si>
  <si>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</si>
  <si>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</si>
  <si>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</si>
  <si>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</si>
  <si>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</si>
  <si>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</si>
  <si>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</si>
  <si>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</si>
  <si>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</si>
  <si>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</si>
  <si>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</si>
  <si>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</si>
  <si>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</si>
  <si>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</si>
  <si>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</si>
  <si>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</si>
  <si>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</si>
  <si>
    <t>wighted average</t>
  </si>
  <si>
    <t>wighted average 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</si>
</sst>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I13" sqref="I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113</v>
      </c>
      <c r="D2">
        <v>45.331196329072426</v>
      </c>
      <c r="E2">
        <v>13.725663716814161</v>
      </c>
      <c r="F2">
        <v>0.48882919890520538</v>
      </c>
      <c r="G2">
        <v>0.84788264496059096</v>
      </c>
      <c r="H2">
        <v>0.46125827814569531</v>
      </c>
      <c r="I2">
        <v>0.59748019786314188</v>
      </c>
      <c r="J2">
        <v>555</v>
      </c>
      <c r="K2">
        <v>28</v>
      </c>
      <c r="L2">
        <v>0.45726495726495731</v>
      </c>
      <c r="M2" t="s">
        <v>16</v>
      </c>
    </row>
    <row r="3" spans="1:15" x14ac:dyDescent="0.35">
      <c r="A3" t="s">
        <v>17</v>
      </c>
      <c r="B3" t="s">
        <v>15</v>
      </c>
      <c r="C3">
        <v>140</v>
      </c>
      <c r="D3">
        <v>12.86283258928572</v>
      </c>
      <c r="E3">
        <v>12.321428571428569</v>
      </c>
      <c r="F3">
        <v>0.51012830963822142</v>
      </c>
      <c r="G3">
        <v>0.85615780763481952</v>
      </c>
      <c r="H3">
        <v>0.39711934156378598</v>
      </c>
      <c r="I3">
        <v>0.54257244706015961</v>
      </c>
      <c r="J3">
        <v>449</v>
      </c>
      <c r="K3">
        <v>22</v>
      </c>
      <c r="L3">
        <v>0.48228882833787462</v>
      </c>
      <c r="M3" t="s">
        <v>16</v>
      </c>
    </row>
    <row r="4" spans="1:15" x14ac:dyDescent="0.35">
      <c r="A4" t="s">
        <v>18</v>
      </c>
      <c r="B4" t="s">
        <v>15</v>
      </c>
      <c r="C4">
        <v>50</v>
      </c>
      <c r="D4">
        <v>188.26465949074071</v>
      </c>
      <c r="E4">
        <v>16.22</v>
      </c>
      <c r="F4">
        <v>0.45615551419619521</v>
      </c>
      <c r="G4">
        <v>0.8675404927912661</v>
      </c>
      <c r="H4">
        <v>0.30023752969121142</v>
      </c>
      <c r="I4">
        <v>0.4460919959925933</v>
      </c>
      <c r="J4">
        <v>487</v>
      </c>
      <c r="K4">
        <v>30</v>
      </c>
      <c r="L4">
        <v>0.45278450363196132</v>
      </c>
      <c r="M4" t="s">
        <v>16</v>
      </c>
    </row>
    <row r="5" spans="1:15" x14ac:dyDescent="0.35">
      <c r="A5" t="s">
        <v>19</v>
      </c>
      <c r="B5" t="s">
        <v>15</v>
      </c>
      <c r="C5">
        <v>676</v>
      </c>
      <c r="D5">
        <v>145.9303839476496</v>
      </c>
      <c r="E5">
        <v>13.17307692307692</v>
      </c>
      <c r="F5">
        <v>0.50343064527631121</v>
      </c>
      <c r="G5">
        <v>0.88782127746417971</v>
      </c>
      <c r="H5">
        <v>0.42098278912658837</v>
      </c>
      <c r="I5">
        <v>0.57114351517317863</v>
      </c>
      <c r="J5">
        <v>1036</v>
      </c>
      <c r="K5">
        <v>62</v>
      </c>
      <c r="L5">
        <v>0.42231947483588622</v>
      </c>
      <c r="M5" t="s">
        <v>16</v>
      </c>
    </row>
    <row r="6" spans="1:15" x14ac:dyDescent="0.35">
      <c r="A6" t="s">
        <v>20</v>
      </c>
      <c r="B6" t="s">
        <v>15</v>
      </c>
      <c r="C6">
        <v>601</v>
      </c>
      <c r="D6">
        <v>15.95014081469157</v>
      </c>
      <c r="E6">
        <v>12.407653910149749</v>
      </c>
      <c r="F6">
        <v>0.51382554280725057</v>
      </c>
      <c r="G6">
        <v>0.83920755194760843</v>
      </c>
      <c r="H6">
        <v>0.3644745998608212</v>
      </c>
      <c r="I6">
        <v>0.50822359746173962</v>
      </c>
      <c r="J6">
        <v>790</v>
      </c>
      <c r="K6">
        <v>53</v>
      </c>
      <c r="L6">
        <v>0.43105950653120462</v>
      </c>
      <c r="M6" t="s">
        <v>16</v>
      </c>
      <c r="N6" t="s">
        <v>36</v>
      </c>
      <c r="O6" t="s">
        <v>37</v>
      </c>
    </row>
    <row r="7" spans="1:15" s="2" customFormat="1" x14ac:dyDescent="0.35">
      <c r="A7" s="2" t="s">
        <v>21</v>
      </c>
      <c r="B7" s="2" t="s">
        <v>15</v>
      </c>
      <c r="C7" s="2">
        <v>1580</v>
      </c>
      <c r="D7" s="2">
        <v>78.84267651928036</v>
      </c>
      <c r="E7" s="2">
        <v>12.94240506329114</v>
      </c>
      <c r="F7" s="2">
        <v>0.53410349328974815</v>
      </c>
      <c r="G7" s="2">
        <v>0.8922005622843725</v>
      </c>
      <c r="H7" s="2">
        <v>0.36492052723396012</v>
      </c>
      <c r="I7" s="2">
        <v>0.51798080917089073</v>
      </c>
      <c r="J7" s="2">
        <v>1306</v>
      </c>
      <c r="K7" s="2">
        <v>79</v>
      </c>
      <c r="L7" s="2">
        <v>0.41724137931034477</v>
      </c>
      <c r="M7" s="2" t="s">
        <v>16</v>
      </c>
      <c r="N7" s="1">
        <f>AVERAGE(I2:I6)</f>
        <v>0.53310235071016265</v>
      </c>
      <c r="O7" s="1">
        <f>(C2*I2+C3*I3+C4*I4+C5*I5+C6*I6)/C7</f>
        <v>0.54260468549250718</v>
      </c>
    </row>
    <row r="8" spans="1:15" x14ac:dyDescent="0.35">
      <c r="A8" t="s">
        <v>14</v>
      </c>
      <c r="B8" t="s">
        <v>22</v>
      </c>
      <c r="C8">
        <v>113</v>
      </c>
      <c r="D8">
        <v>45.331196329072426</v>
      </c>
      <c r="E8">
        <v>13.725663716814161</v>
      </c>
      <c r="F8">
        <v>0.82455880149971494</v>
      </c>
      <c r="G8">
        <v>0.96550941683685043</v>
      </c>
      <c r="H8">
        <v>0.20021369277554041</v>
      </c>
      <c r="I8">
        <v>0.33165372490340411</v>
      </c>
      <c r="J8">
        <v>212</v>
      </c>
      <c r="K8">
        <v>9</v>
      </c>
      <c r="L8">
        <v>0.6216216216216216</v>
      </c>
      <c r="M8" t="s">
        <v>16</v>
      </c>
    </row>
    <row r="9" spans="1:15" x14ac:dyDescent="0.35">
      <c r="A9" t="s">
        <v>17</v>
      </c>
      <c r="B9" t="s">
        <v>22</v>
      </c>
      <c r="C9">
        <v>140</v>
      </c>
      <c r="D9">
        <v>12.86283258928572</v>
      </c>
      <c r="E9">
        <v>12.321428571428569</v>
      </c>
      <c r="F9">
        <v>0.76575712819883102</v>
      </c>
      <c r="G9">
        <v>0.94781025615575687</v>
      </c>
      <c r="H9">
        <v>0.42169086251067472</v>
      </c>
      <c r="I9">
        <v>0.58369127117468989</v>
      </c>
      <c r="J9">
        <v>172</v>
      </c>
      <c r="K9">
        <v>4</v>
      </c>
      <c r="L9">
        <v>0.65517241379310354</v>
      </c>
      <c r="M9" t="s">
        <v>16</v>
      </c>
    </row>
    <row r="10" spans="1:15" x14ac:dyDescent="0.35">
      <c r="A10" t="s">
        <v>18</v>
      </c>
      <c r="B10" t="s">
        <v>22</v>
      </c>
      <c r="C10">
        <v>50</v>
      </c>
      <c r="D10">
        <v>188.26465949074071</v>
      </c>
      <c r="E10">
        <v>16.22</v>
      </c>
      <c r="F10">
        <v>0.76310602005150252</v>
      </c>
      <c r="G10">
        <v>0.99470982249258155</v>
      </c>
      <c r="H10">
        <v>0.14588115276715119</v>
      </c>
      <c r="I10">
        <v>0.25444601740949618</v>
      </c>
      <c r="J10">
        <v>178</v>
      </c>
      <c r="K10">
        <v>4</v>
      </c>
      <c r="L10">
        <v>0.6393442622950819</v>
      </c>
      <c r="M10" t="s">
        <v>16</v>
      </c>
    </row>
    <row r="11" spans="1:15" x14ac:dyDescent="0.35">
      <c r="A11" t="s">
        <v>19</v>
      </c>
      <c r="B11" t="s">
        <v>22</v>
      </c>
      <c r="C11">
        <v>676</v>
      </c>
      <c r="D11">
        <v>145.9303839476496</v>
      </c>
      <c r="E11">
        <v>13.17307692307692</v>
      </c>
      <c r="F11">
        <v>0.69417605020887563</v>
      </c>
      <c r="G11">
        <v>0.95986434714772328</v>
      </c>
      <c r="H11">
        <v>0.35386147754050967</v>
      </c>
      <c r="I11">
        <v>0.51709269885252696</v>
      </c>
      <c r="J11">
        <v>483</v>
      </c>
      <c r="K11">
        <v>11</v>
      </c>
      <c r="L11">
        <v>0.63363363363363367</v>
      </c>
      <c r="M11" t="s">
        <v>16</v>
      </c>
    </row>
    <row r="12" spans="1:15" x14ac:dyDescent="0.35">
      <c r="A12" t="s">
        <v>20</v>
      </c>
      <c r="B12" t="s">
        <v>22</v>
      </c>
      <c r="C12">
        <v>601</v>
      </c>
      <c r="D12">
        <v>15.95014081469157</v>
      </c>
      <c r="E12">
        <v>12.407653910149749</v>
      </c>
      <c r="F12">
        <v>0.87445169351790419</v>
      </c>
      <c r="G12">
        <v>0.94813942833261633</v>
      </c>
      <c r="H12">
        <v>0.41620075412820179</v>
      </c>
      <c r="I12">
        <v>0.57847207047579552</v>
      </c>
      <c r="J12">
        <v>191</v>
      </c>
      <c r="K12">
        <v>4</v>
      </c>
      <c r="L12">
        <v>0.6692913385826772</v>
      </c>
      <c r="M12" t="s">
        <v>16</v>
      </c>
      <c r="N12" t="s">
        <v>36</v>
      </c>
      <c r="O12" t="s">
        <v>37</v>
      </c>
    </row>
    <row r="13" spans="1:15" s="2" customFormat="1" x14ac:dyDescent="0.35">
      <c r="A13" s="2" t="s">
        <v>21</v>
      </c>
      <c r="B13" s="2" t="s">
        <v>22</v>
      </c>
      <c r="C13" s="2">
        <v>1580</v>
      </c>
      <c r="D13" s="2">
        <v>78.84267651928036</v>
      </c>
      <c r="E13" s="2">
        <v>12.94240506329114</v>
      </c>
      <c r="F13" s="2">
        <v>0.87173348102372084</v>
      </c>
      <c r="G13" s="2">
        <v>0.95820480641733763</v>
      </c>
      <c r="H13" s="2">
        <v>0.44984212682879798</v>
      </c>
      <c r="I13" s="1">
        <v>0.61225358030164911</v>
      </c>
      <c r="J13" s="2">
        <v>341</v>
      </c>
      <c r="K13" s="2">
        <v>6</v>
      </c>
      <c r="L13" s="2">
        <v>0.63404255319148939</v>
      </c>
      <c r="M13" s="2" t="s">
        <v>16</v>
      </c>
      <c r="N13" s="2">
        <f>AVERAGE(I8:I12)</f>
        <v>0.45307115656318253</v>
      </c>
      <c r="O13" s="2">
        <f>(C8*I8+C9*I9+C10*I10+C11*I11+C12*I12)/C13</f>
        <v>0.5247672965375173</v>
      </c>
    </row>
    <row r="14" spans="1:15" x14ac:dyDescent="0.35">
      <c r="A14" t="s">
        <v>14</v>
      </c>
      <c r="B14" t="s">
        <v>23</v>
      </c>
      <c r="C14">
        <v>113</v>
      </c>
      <c r="D14">
        <v>45.331196329072426</v>
      </c>
      <c r="E14">
        <v>13.725663716814161</v>
      </c>
      <c r="F14">
        <v>0.6733150397275115</v>
      </c>
      <c r="G14">
        <v>0.93950095154377333</v>
      </c>
      <c r="H14">
        <v>0.43199233716475088</v>
      </c>
      <c r="I14">
        <v>0.59184717149885613</v>
      </c>
      <c r="J14">
        <v>331</v>
      </c>
      <c r="K14">
        <v>20</v>
      </c>
      <c r="L14">
        <v>0.48698884758364308</v>
      </c>
      <c r="M14" t="s">
        <v>16</v>
      </c>
    </row>
    <row r="15" spans="1:15" x14ac:dyDescent="0.35">
      <c r="A15" t="s">
        <v>17</v>
      </c>
      <c r="B15" t="s">
        <v>23</v>
      </c>
      <c r="C15">
        <v>140</v>
      </c>
      <c r="D15">
        <v>12.86283258928572</v>
      </c>
      <c r="E15">
        <v>12.321428571428569</v>
      </c>
      <c r="F15">
        <v>0.67461339765567496</v>
      </c>
      <c r="G15">
        <v>0.85722030547640238</v>
      </c>
      <c r="H15">
        <v>0.45909337186201921</v>
      </c>
      <c r="I15">
        <v>0.59794890419355917</v>
      </c>
      <c r="J15">
        <v>280</v>
      </c>
      <c r="K15">
        <v>18</v>
      </c>
      <c r="L15">
        <v>0.47826086956521741</v>
      </c>
      <c r="M15" t="s">
        <v>16</v>
      </c>
    </row>
    <row r="16" spans="1:15" x14ac:dyDescent="0.35">
      <c r="A16" t="s">
        <v>18</v>
      </c>
      <c r="B16" t="s">
        <v>23</v>
      </c>
      <c r="C16">
        <v>50</v>
      </c>
      <c r="D16">
        <v>188.26465949074071</v>
      </c>
      <c r="E16">
        <v>16.22</v>
      </c>
      <c r="F16">
        <v>0.62620308119708867</v>
      </c>
      <c r="G16">
        <v>0.92398007590132825</v>
      </c>
      <c r="H16">
        <v>0.33938764919564091</v>
      </c>
      <c r="I16">
        <v>0.49643095930710501</v>
      </c>
      <c r="J16">
        <v>271</v>
      </c>
      <c r="K16">
        <v>2</v>
      </c>
      <c r="L16">
        <v>0.55665024630541871</v>
      </c>
      <c r="M16" t="s">
        <v>16</v>
      </c>
    </row>
    <row r="17" spans="1:15" x14ac:dyDescent="0.35">
      <c r="A17" t="s">
        <v>19</v>
      </c>
      <c r="B17" t="s">
        <v>23</v>
      </c>
      <c r="C17">
        <v>676</v>
      </c>
      <c r="D17">
        <v>145.9303839476496</v>
      </c>
      <c r="E17">
        <v>13.17307692307692</v>
      </c>
      <c r="F17">
        <v>0.69360224192683473</v>
      </c>
      <c r="G17">
        <v>0.71027091892112559</v>
      </c>
      <c r="H17">
        <v>0.38459077822967602</v>
      </c>
      <c r="I17">
        <v>0.49899205748570158</v>
      </c>
      <c r="J17">
        <v>802</v>
      </c>
      <c r="K17">
        <v>199</v>
      </c>
      <c r="L17">
        <v>0.32756489493201479</v>
      </c>
      <c r="M17" t="s">
        <v>16</v>
      </c>
    </row>
    <row r="18" spans="1:15" x14ac:dyDescent="0.35">
      <c r="A18" t="s">
        <v>20</v>
      </c>
      <c r="B18" t="s">
        <v>23</v>
      </c>
      <c r="C18">
        <v>601</v>
      </c>
      <c r="D18">
        <v>15.95014081469157</v>
      </c>
      <c r="E18">
        <v>12.407653910149749</v>
      </c>
      <c r="F18">
        <v>0.74171880890347919</v>
      </c>
      <c r="G18">
        <v>0.94008642314693469</v>
      </c>
      <c r="H18">
        <v>0.43453836150845249</v>
      </c>
      <c r="I18">
        <v>0.59434926323261505</v>
      </c>
      <c r="J18">
        <v>359</v>
      </c>
      <c r="K18">
        <v>15</v>
      </c>
      <c r="L18">
        <v>0.51236749116607772</v>
      </c>
      <c r="M18" t="s">
        <v>16</v>
      </c>
      <c r="N18" t="s">
        <v>36</v>
      </c>
      <c r="O18" t="s">
        <v>37</v>
      </c>
    </row>
    <row r="19" spans="1:15" s="2" customFormat="1" x14ac:dyDescent="0.35">
      <c r="A19" s="2" t="s">
        <v>21</v>
      </c>
      <c r="B19" s="2" t="s">
        <v>23</v>
      </c>
      <c r="C19" s="2">
        <v>1580</v>
      </c>
      <c r="D19" s="2">
        <v>78.84267651928036</v>
      </c>
      <c r="E19" s="2">
        <v>12.94240506329114</v>
      </c>
      <c r="F19" s="2">
        <v>0.75950949474997487</v>
      </c>
      <c r="G19" s="2">
        <v>0.73182652869273723</v>
      </c>
      <c r="H19" s="2">
        <v>0.41679185053046658</v>
      </c>
      <c r="I19" s="2">
        <v>0.53110648180192688</v>
      </c>
      <c r="J19" s="2">
        <v>719</v>
      </c>
      <c r="K19" s="2">
        <v>147</v>
      </c>
      <c r="L19" s="2">
        <v>0.36642335766423362</v>
      </c>
      <c r="M19" s="2" t="s">
        <v>16</v>
      </c>
      <c r="N19" s="1">
        <f>AVERAGE(I14:I18)</f>
        <v>0.55591367114356738</v>
      </c>
      <c r="O19" s="1">
        <f>(C14*I14+C15*I15+C16*I16+C17*I17+C18*I18)/C19</f>
        <v>0.55059219176896212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G15" sqref="G1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24</v>
      </c>
      <c r="B2" t="s">
        <v>15</v>
      </c>
      <c r="C2">
        <v>375</v>
      </c>
      <c r="D2">
        <v>129.70944033950619</v>
      </c>
      <c r="E2">
        <v>12.90133333333333</v>
      </c>
      <c r="F2">
        <v>0.5169523611045852</v>
      </c>
      <c r="G2">
        <v>0.8359886681116282</v>
      </c>
      <c r="H2">
        <v>0.47585024292655043</v>
      </c>
      <c r="I2">
        <v>0.60648515218982446</v>
      </c>
      <c r="J2">
        <v>845</v>
      </c>
      <c r="K2">
        <v>57</v>
      </c>
      <c r="L2">
        <v>0.42281879194630873</v>
      </c>
      <c r="M2" t="s">
        <v>16</v>
      </c>
    </row>
    <row r="3" spans="1:15" x14ac:dyDescent="0.35">
      <c r="A3" t="s">
        <v>25</v>
      </c>
      <c r="B3" t="s">
        <v>15</v>
      </c>
      <c r="C3">
        <v>1205</v>
      </c>
      <c r="D3">
        <v>63.012770766098051</v>
      </c>
      <c r="E3">
        <v>12.9551867219917</v>
      </c>
      <c r="F3">
        <v>0.52831089702653622</v>
      </c>
      <c r="G3">
        <v>0.89040349280428699</v>
      </c>
      <c r="H3">
        <v>0.34039308486163139</v>
      </c>
      <c r="I3">
        <v>0.49250574333249608</v>
      </c>
      <c r="J3">
        <v>1172</v>
      </c>
      <c r="K3">
        <v>75</v>
      </c>
      <c r="L3">
        <v>0.41867179980750718</v>
      </c>
      <c r="M3" t="s">
        <v>16</v>
      </c>
      <c r="N3" t="s">
        <v>36</v>
      </c>
      <c r="O3" s="3" t="s">
        <v>37</v>
      </c>
    </row>
    <row r="4" spans="1:15" s="2" customFormat="1" x14ac:dyDescent="0.35">
      <c r="A4" s="2" t="s">
        <v>21</v>
      </c>
      <c r="B4" s="2" t="s">
        <v>15</v>
      </c>
      <c r="C4" s="2">
        <v>1580</v>
      </c>
      <c r="D4" s="2">
        <v>78.84267651928036</v>
      </c>
      <c r="E4" s="2">
        <v>12.94240506329114</v>
      </c>
      <c r="F4" s="2">
        <v>0.53410349328974815</v>
      </c>
      <c r="G4" s="2">
        <v>0.8922005622843725</v>
      </c>
      <c r="H4" s="2">
        <v>0.36492052723396012</v>
      </c>
      <c r="I4" s="2">
        <v>0.51798080917089073</v>
      </c>
      <c r="J4" s="2">
        <v>1306</v>
      </c>
      <c r="K4" s="2">
        <v>79</v>
      </c>
      <c r="L4" s="2">
        <v>0.41724137931034477</v>
      </c>
      <c r="M4" s="2" t="s">
        <v>16</v>
      </c>
      <c r="N4" s="1">
        <f>AVERAGE(I2:I3)</f>
        <v>0.54949544776116022</v>
      </c>
      <c r="O4" s="1">
        <f>(C2*I2+C3*I3)/C4</f>
        <v>0.51955781821952018</v>
      </c>
    </row>
    <row r="5" spans="1:15" x14ac:dyDescent="0.35">
      <c r="A5" t="s">
        <v>24</v>
      </c>
      <c r="B5" t="s">
        <v>22</v>
      </c>
      <c r="C5">
        <v>375</v>
      </c>
      <c r="D5">
        <v>129.70944033950619</v>
      </c>
      <c r="E5">
        <v>12.90133333333333</v>
      </c>
      <c r="F5">
        <v>0.83632948046312861</v>
      </c>
      <c r="G5">
        <v>0.9628827751934208</v>
      </c>
      <c r="H5">
        <v>0.33401221995926678</v>
      </c>
      <c r="I5">
        <v>0.49597633502322119</v>
      </c>
      <c r="J5">
        <v>336</v>
      </c>
      <c r="K5">
        <v>9</v>
      </c>
      <c r="L5">
        <v>0.64912280701754399</v>
      </c>
      <c r="M5" t="s">
        <v>16</v>
      </c>
    </row>
    <row r="6" spans="1:15" x14ac:dyDescent="0.35">
      <c r="A6" t="s">
        <v>25</v>
      </c>
      <c r="B6" t="s">
        <v>22</v>
      </c>
      <c r="C6">
        <v>1205</v>
      </c>
      <c r="D6">
        <v>63.012770766098051</v>
      </c>
      <c r="E6">
        <v>12.9551867219917</v>
      </c>
      <c r="F6">
        <v>0.852848053959254</v>
      </c>
      <c r="G6">
        <v>0.96925338853007581</v>
      </c>
      <c r="H6">
        <v>0.37836822127851483</v>
      </c>
      <c r="I6">
        <v>0.54426951588938555</v>
      </c>
      <c r="J6">
        <v>387</v>
      </c>
      <c r="K6">
        <v>7</v>
      </c>
      <c r="L6">
        <v>0.63295880149812744</v>
      </c>
      <c r="M6" t="s">
        <v>16</v>
      </c>
      <c r="N6" t="s">
        <v>36</v>
      </c>
      <c r="O6" s="3" t="s">
        <v>37</v>
      </c>
    </row>
    <row r="7" spans="1:15" s="2" customFormat="1" x14ac:dyDescent="0.35">
      <c r="A7" s="2" t="s">
        <v>21</v>
      </c>
      <c r="B7" s="2" t="s">
        <v>22</v>
      </c>
      <c r="C7" s="2">
        <v>1580</v>
      </c>
      <c r="D7" s="2">
        <v>78.84267651928036</v>
      </c>
      <c r="E7" s="2">
        <v>12.94240506329114</v>
      </c>
      <c r="F7" s="2">
        <v>0.87173348102372084</v>
      </c>
      <c r="G7" s="2">
        <v>0.95820480641733763</v>
      </c>
      <c r="H7" s="2">
        <v>0.44984212682879798</v>
      </c>
      <c r="I7" s="1">
        <v>0.61225358030164911</v>
      </c>
      <c r="J7" s="2">
        <v>341</v>
      </c>
      <c r="K7" s="2">
        <v>6</v>
      </c>
      <c r="L7" s="2">
        <v>0.63404255319148939</v>
      </c>
      <c r="M7" s="2" t="s">
        <v>16</v>
      </c>
      <c r="N7" s="2">
        <f>AVERAGE(I5:I6)</f>
        <v>0.52012292545630334</v>
      </c>
      <c r="O7" s="2">
        <f>(C5*I5+C6*I6)/C7</f>
        <v>0.53280752675975795</v>
      </c>
    </row>
    <row r="8" spans="1:15" x14ac:dyDescent="0.35">
      <c r="A8" t="s">
        <v>24</v>
      </c>
      <c r="B8" t="s">
        <v>23</v>
      </c>
      <c r="C8">
        <v>375</v>
      </c>
      <c r="D8">
        <v>129.70944033950619</v>
      </c>
      <c r="E8">
        <v>12.90133333333333</v>
      </c>
      <c r="F8">
        <v>0.76939132931138021</v>
      </c>
      <c r="G8">
        <v>0.78071322799114906</v>
      </c>
      <c r="H8">
        <v>0.48288464967017303</v>
      </c>
      <c r="I8">
        <v>0.59670001074886336</v>
      </c>
      <c r="J8">
        <v>373</v>
      </c>
      <c r="K8">
        <v>45</v>
      </c>
      <c r="L8">
        <v>0.45859872611464969</v>
      </c>
      <c r="M8" t="s">
        <v>16</v>
      </c>
    </row>
    <row r="9" spans="1:15" x14ac:dyDescent="0.35">
      <c r="A9" t="s">
        <v>25</v>
      </c>
      <c r="B9" t="s">
        <v>23</v>
      </c>
      <c r="C9">
        <v>1205</v>
      </c>
      <c r="D9">
        <v>63.012770766098051</v>
      </c>
      <c r="E9">
        <v>12.9551867219917</v>
      </c>
      <c r="F9">
        <v>0.714755965453297</v>
      </c>
      <c r="G9">
        <v>0.76375622459746428</v>
      </c>
      <c r="H9">
        <v>0.38615806708558281</v>
      </c>
      <c r="I9">
        <v>0.51296106074735404</v>
      </c>
      <c r="J9">
        <v>587</v>
      </c>
      <c r="K9">
        <v>77</v>
      </c>
      <c r="L9">
        <v>0.41064638783269958</v>
      </c>
      <c r="M9" t="s">
        <v>16</v>
      </c>
      <c r="N9" t="s">
        <v>36</v>
      </c>
      <c r="O9" s="3" t="s">
        <v>37</v>
      </c>
    </row>
    <row r="10" spans="1:15" s="2" customFormat="1" x14ac:dyDescent="0.35">
      <c r="A10" s="2" t="s">
        <v>21</v>
      </c>
      <c r="B10" s="2" t="s">
        <v>23</v>
      </c>
      <c r="C10" s="2">
        <v>1580</v>
      </c>
      <c r="D10" s="2">
        <v>78.84267651928036</v>
      </c>
      <c r="E10" s="2">
        <v>12.94240506329114</v>
      </c>
      <c r="F10" s="2">
        <v>0.75950949474997487</v>
      </c>
      <c r="G10" s="2">
        <v>0.73182652869273723</v>
      </c>
      <c r="H10" s="2">
        <v>0.41679185053046658</v>
      </c>
      <c r="I10" s="2">
        <v>0.53110648180192688</v>
      </c>
      <c r="J10" s="2">
        <v>719</v>
      </c>
      <c r="K10" s="2">
        <v>147</v>
      </c>
      <c r="L10" s="2">
        <v>0.36642335766423362</v>
      </c>
      <c r="M10" s="2" t="s">
        <v>16</v>
      </c>
      <c r="N10" s="1">
        <f>AVERAGE(I8:I9)</f>
        <v>0.5548305357481087</v>
      </c>
      <c r="O10" s="1">
        <f>(C8*I8+C9*I9)/C10</f>
        <v>0.53283581153885151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tabSelected="1" workbookViewId="0">
      <selection activeCell="Q34" sqref="Q34:R34"/>
    </sheetView>
  </sheetViews>
  <sheetFormatPr defaultRowHeight="14.5" x14ac:dyDescent="0.35"/>
  <cols>
    <col min="1" max="1" width="20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 x14ac:dyDescent="0.35">
      <c r="A2" t="s">
        <v>26</v>
      </c>
      <c r="B2" t="s">
        <v>15</v>
      </c>
      <c r="C2">
        <v>23</v>
      </c>
      <c r="D2">
        <v>46.448382145732687</v>
      </c>
      <c r="E2">
        <v>11.739130434782609</v>
      </c>
      <c r="F2">
        <v>0.37400100941760323</v>
      </c>
      <c r="G2">
        <v>0.86915377735690236</v>
      </c>
      <c r="H2">
        <v>0.30348837209302332</v>
      </c>
      <c r="I2">
        <v>0.44988671968218757</v>
      </c>
      <c r="J2">
        <v>299</v>
      </c>
      <c r="K2">
        <v>15</v>
      </c>
      <c r="L2">
        <v>0.49377593360995847</v>
      </c>
      <c r="M2" t="s">
        <v>16</v>
      </c>
    </row>
    <row r="3" spans="1:18" x14ac:dyDescent="0.35">
      <c r="A3" t="s">
        <v>27</v>
      </c>
      <c r="B3" t="s">
        <v>15</v>
      </c>
      <c r="C3">
        <v>33</v>
      </c>
      <c r="D3">
        <v>21.724242073512901</v>
      </c>
      <c r="E3">
        <v>13.90909090909091</v>
      </c>
      <c r="F3">
        <v>0.5192327537260637</v>
      </c>
      <c r="G3">
        <v>0.88453922146796593</v>
      </c>
      <c r="H3">
        <v>0.5107033639143731</v>
      </c>
      <c r="I3">
        <v>0.64753923174456585</v>
      </c>
      <c r="J3">
        <v>288</v>
      </c>
      <c r="K3">
        <v>15</v>
      </c>
      <c r="L3">
        <v>0.50877192982456132</v>
      </c>
      <c r="M3" t="s">
        <v>16</v>
      </c>
    </row>
    <row r="4" spans="1:18" x14ac:dyDescent="0.35">
      <c r="A4" t="s">
        <v>28</v>
      </c>
      <c r="B4" t="s">
        <v>15</v>
      </c>
      <c r="C4">
        <v>14</v>
      </c>
      <c r="D4">
        <v>105.84598792989421</v>
      </c>
      <c r="E4">
        <v>12</v>
      </c>
      <c r="F4">
        <v>0.34161306838497618</v>
      </c>
      <c r="G4">
        <v>0.90139961087052023</v>
      </c>
      <c r="H4">
        <v>0.41635687732342008</v>
      </c>
      <c r="I4">
        <v>0.56961044102612768</v>
      </c>
      <c r="J4">
        <v>254</v>
      </c>
      <c r="K4">
        <v>8</v>
      </c>
      <c r="L4">
        <v>0.51758793969849248</v>
      </c>
      <c r="M4" t="s">
        <v>16</v>
      </c>
    </row>
    <row r="5" spans="1:18" x14ac:dyDescent="0.35">
      <c r="A5" t="s">
        <v>29</v>
      </c>
      <c r="B5" t="s">
        <v>15</v>
      </c>
      <c r="C5">
        <v>204</v>
      </c>
      <c r="D5">
        <v>215.14843523057371</v>
      </c>
      <c r="E5">
        <v>12.13725490196078</v>
      </c>
      <c r="F5">
        <v>0.53020268466534959</v>
      </c>
      <c r="G5">
        <v>0.88486247449762256</v>
      </c>
      <c r="H5">
        <v>0.45552742616033759</v>
      </c>
      <c r="I5">
        <v>0.60143563498338648</v>
      </c>
      <c r="J5">
        <v>556</v>
      </c>
      <c r="K5">
        <v>32</v>
      </c>
      <c r="L5">
        <v>0.44537815126050417</v>
      </c>
      <c r="M5" t="s">
        <v>16</v>
      </c>
    </row>
    <row r="6" spans="1:18" x14ac:dyDescent="0.35">
      <c r="A6" t="s">
        <v>30</v>
      </c>
      <c r="B6" t="s">
        <v>15</v>
      </c>
      <c r="C6">
        <v>101</v>
      </c>
      <c r="D6">
        <v>14.69012605427209</v>
      </c>
      <c r="E6">
        <v>14.504950495049499</v>
      </c>
      <c r="F6">
        <v>0.46657201738375992</v>
      </c>
      <c r="G6">
        <v>0.80240240945252317</v>
      </c>
      <c r="H6">
        <v>0.58388454600120265</v>
      </c>
      <c r="I6">
        <v>0.67592119324258693</v>
      </c>
      <c r="J6">
        <v>620</v>
      </c>
      <c r="K6">
        <v>56</v>
      </c>
      <c r="L6">
        <v>0.43925233644859812</v>
      </c>
      <c r="M6" t="s">
        <v>16</v>
      </c>
    </row>
    <row r="7" spans="1:18" x14ac:dyDescent="0.35">
      <c r="A7" t="s">
        <v>31</v>
      </c>
      <c r="B7" t="s">
        <v>15</v>
      </c>
      <c r="C7">
        <v>90</v>
      </c>
      <c r="D7">
        <v>45.045693287037039</v>
      </c>
      <c r="E7">
        <v>14.233333333333331</v>
      </c>
      <c r="F7">
        <v>0.44748433509446789</v>
      </c>
      <c r="G7">
        <v>0.85909571010724739</v>
      </c>
      <c r="H7">
        <v>0.38762953367875652</v>
      </c>
      <c r="I7">
        <v>0.53421693537385795</v>
      </c>
      <c r="J7">
        <v>530</v>
      </c>
      <c r="K7">
        <v>26</v>
      </c>
      <c r="L7">
        <v>0.45011086474501111</v>
      </c>
      <c r="M7" t="s">
        <v>16</v>
      </c>
    </row>
    <row r="8" spans="1:18" x14ac:dyDescent="0.35">
      <c r="A8" t="s">
        <v>32</v>
      </c>
      <c r="B8" t="s">
        <v>15</v>
      </c>
      <c r="C8">
        <v>107</v>
      </c>
      <c r="D8">
        <v>10.12987452405677</v>
      </c>
      <c r="E8">
        <v>11.83177570093458</v>
      </c>
      <c r="F8">
        <v>0.4797932219911768</v>
      </c>
      <c r="G8">
        <v>0.87334939454248284</v>
      </c>
      <c r="H8">
        <v>0.38162650602409642</v>
      </c>
      <c r="I8">
        <v>0.53115486572616599</v>
      </c>
      <c r="J8">
        <v>412</v>
      </c>
      <c r="K8">
        <v>17</v>
      </c>
      <c r="L8">
        <v>0.49397590361445781</v>
      </c>
      <c r="M8" t="s">
        <v>16</v>
      </c>
    </row>
    <row r="9" spans="1:18" x14ac:dyDescent="0.35">
      <c r="A9" t="s">
        <v>33</v>
      </c>
      <c r="B9" t="s">
        <v>15</v>
      </c>
      <c r="C9">
        <v>36</v>
      </c>
      <c r="D9">
        <v>220.31636509773659</v>
      </c>
      <c r="E9">
        <v>17.861111111111111</v>
      </c>
      <c r="F9">
        <v>0.44628394900104462</v>
      </c>
      <c r="G9">
        <v>0.84493109978635217</v>
      </c>
      <c r="H9">
        <v>0.35541699142634448</v>
      </c>
      <c r="I9">
        <v>0.50035964008611122</v>
      </c>
      <c r="J9">
        <v>425</v>
      </c>
      <c r="K9">
        <v>25</v>
      </c>
      <c r="L9">
        <v>0.43869209809264298</v>
      </c>
      <c r="M9" t="s">
        <v>16</v>
      </c>
    </row>
    <row r="10" spans="1:18" x14ac:dyDescent="0.35">
      <c r="A10" t="s">
        <v>34</v>
      </c>
      <c r="B10" t="s">
        <v>15</v>
      </c>
      <c r="C10">
        <v>472</v>
      </c>
      <c r="D10">
        <v>116.0141075457078</v>
      </c>
      <c r="E10">
        <v>13.62076271186441</v>
      </c>
      <c r="F10">
        <v>0.49853125154309919</v>
      </c>
      <c r="G10">
        <v>0.87149074518705993</v>
      </c>
      <c r="H10">
        <v>0.39385584875935409</v>
      </c>
      <c r="I10">
        <v>0.54252602215659407</v>
      </c>
      <c r="J10">
        <v>1033</v>
      </c>
      <c r="K10">
        <v>72</v>
      </c>
      <c r="L10">
        <v>0.4127843986998917</v>
      </c>
      <c r="M10" t="s">
        <v>16</v>
      </c>
    </row>
    <row r="11" spans="1:18" x14ac:dyDescent="0.35">
      <c r="A11" t="s">
        <v>35</v>
      </c>
      <c r="B11" t="s">
        <v>15</v>
      </c>
      <c r="C11">
        <v>500</v>
      </c>
      <c r="D11">
        <v>16.204663796296291</v>
      </c>
      <c r="E11">
        <v>11.984</v>
      </c>
      <c r="F11">
        <v>0.48711946661131711</v>
      </c>
      <c r="G11">
        <v>0.84015484105141969</v>
      </c>
      <c r="H11">
        <v>0.38546863078819182</v>
      </c>
      <c r="I11">
        <v>0.52847117189110426</v>
      </c>
      <c r="J11">
        <v>674</v>
      </c>
      <c r="K11">
        <v>41</v>
      </c>
      <c r="L11">
        <v>0.44947735191637628</v>
      </c>
      <c r="M11" t="s">
        <v>16</v>
      </c>
      <c r="N11" t="s">
        <v>36</v>
      </c>
      <c r="O11" t="s">
        <v>38</v>
      </c>
      <c r="P11" t="s">
        <v>40</v>
      </c>
    </row>
    <row r="12" spans="1:18" s="2" customFormat="1" x14ac:dyDescent="0.35">
      <c r="A12" s="2" t="s">
        <v>21</v>
      </c>
      <c r="B12" s="2" t="s">
        <v>15</v>
      </c>
      <c r="C12" s="2">
        <v>1580</v>
      </c>
      <c r="D12" s="2">
        <v>78.84267651928036</v>
      </c>
      <c r="E12" s="2">
        <v>12.94240506329114</v>
      </c>
      <c r="F12" s="2">
        <v>0.53410349328974815</v>
      </c>
      <c r="G12" s="2">
        <v>0.8922005622843725</v>
      </c>
      <c r="H12" s="2">
        <v>0.36492052723396012</v>
      </c>
      <c r="I12" s="2">
        <v>0.51798080917089073</v>
      </c>
      <c r="J12" s="2">
        <v>1306</v>
      </c>
      <c r="K12" s="2">
        <v>79</v>
      </c>
      <c r="L12" s="2">
        <v>0.41724137931034477</v>
      </c>
      <c r="M12" s="2" t="s">
        <v>16</v>
      </c>
      <c r="N12" s="1">
        <f>AVERAGE(I2:I11)</f>
        <v>0.55811218559126896</v>
      </c>
      <c r="O12" s="1">
        <f>AVERAGE(I2:I6)</f>
        <v>0.58887864413577096</v>
      </c>
      <c r="P12" s="1">
        <f>($C$2*I2+$C$3*I3+$C$4*I4+$C$5*I5+$C$6*I6+$C$7*I7+$C$8*I8+$C$9*I9+$C$10*I10+$C$11*I11)/$C$12</f>
        <v>0.55309212385547502</v>
      </c>
      <c r="Q12" s="1">
        <f>($C$2*J2+$C$3*J3+$C$4*J4+$C$5*J5+$C$6*J6+$C$7*J7+$C$8*J8+$C$9*J9+$C$10*J10+$C$11*J11)/$C$12</f>
        <v>713.69683544303803</v>
      </c>
      <c r="R12" s="1">
        <f>($C$2*K2+$C$3*K3+$C$4*K4+$C$5*K5+$C$6*K6+$C$7*K7+$C$8*K8+$C$9*K9+$C$10*K10+$C$11*K11)/$C$12</f>
        <v>45.999367088607592</v>
      </c>
    </row>
    <row r="13" spans="1:18" x14ac:dyDescent="0.35">
      <c r="A13" t="s">
        <v>26</v>
      </c>
      <c r="B13" t="s">
        <v>22</v>
      </c>
      <c r="C13">
        <v>23</v>
      </c>
      <c r="D13">
        <v>46.448382145732687</v>
      </c>
      <c r="E13">
        <v>11.739130434782609</v>
      </c>
      <c r="F13">
        <v>0.66350263707423396</v>
      </c>
      <c r="G13">
        <v>0.98503495787783613</v>
      </c>
      <c r="H13">
        <v>0.17851051733939741</v>
      </c>
      <c r="I13">
        <v>0.30224706068378621</v>
      </c>
      <c r="J13">
        <v>214</v>
      </c>
      <c r="K13">
        <v>4</v>
      </c>
      <c r="L13">
        <v>0.64383561643835607</v>
      </c>
      <c r="M13" t="s">
        <v>16</v>
      </c>
    </row>
    <row r="14" spans="1:18" x14ac:dyDescent="0.35">
      <c r="A14" t="s">
        <v>27</v>
      </c>
      <c r="B14" t="s">
        <v>22</v>
      </c>
      <c r="C14">
        <v>33</v>
      </c>
      <c r="D14">
        <v>21.724242073512901</v>
      </c>
      <c r="E14">
        <v>13.90909090909091</v>
      </c>
      <c r="F14">
        <v>0.77609042676634044</v>
      </c>
      <c r="G14">
        <v>0.98169884329601387</v>
      </c>
      <c r="H14">
        <v>0.22196531791907509</v>
      </c>
      <c r="I14">
        <v>0.36206626877220749</v>
      </c>
      <c r="J14">
        <v>137</v>
      </c>
      <c r="K14">
        <v>2</v>
      </c>
      <c r="L14">
        <v>0.67032967032967028</v>
      </c>
      <c r="M14" t="s">
        <v>16</v>
      </c>
    </row>
    <row r="15" spans="1:18" x14ac:dyDescent="0.35">
      <c r="A15" t="s">
        <v>28</v>
      </c>
      <c r="B15" t="s">
        <v>22</v>
      </c>
      <c r="C15">
        <v>14</v>
      </c>
      <c r="D15">
        <v>105.84598792989421</v>
      </c>
      <c r="E15">
        <v>12</v>
      </c>
      <c r="F15">
        <v>0.58688841496776578</v>
      </c>
      <c r="G15">
        <v>0.96654672669901098</v>
      </c>
      <c r="H15">
        <v>0.20248328557784151</v>
      </c>
      <c r="I15">
        <v>0.33482383656746578</v>
      </c>
      <c r="J15">
        <v>140</v>
      </c>
      <c r="K15">
        <v>4</v>
      </c>
      <c r="L15">
        <v>0.65957446808510634</v>
      </c>
      <c r="M15" t="s">
        <v>16</v>
      </c>
    </row>
    <row r="16" spans="1:18" x14ac:dyDescent="0.35">
      <c r="A16" t="s">
        <v>29</v>
      </c>
      <c r="B16" t="s">
        <v>22</v>
      </c>
      <c r="C16">
        <v>204</v>
      </c>
      <c r="D16">
        <v>215.14843523057371</v>
      </c>
      <c r="E16">
        <v>12.13725490196078</v>
      </c>
      <c r="F16">
        <v>0.75252684991654184</v>
      </c>
      <c r="G16">
        <v>0.95740836351981695</v>
      </c>
      <c r="H16">
        <v>0.33322856918362531</v>
      </c>
      <c r="I16">
        <v>0.494385076106375</v>
      </c>
      <c r="J16">
        <v>315</v>
      </c>
      <c r="K16">
        <v>9</v>
      </c>
      <c r="L16">
        <v>0.62557077625570778</v>
      </c>
      <c r="M16" t="s">
        <v>16</v>
      </c>
    </row>
    <row r="17" spans="1:18" x14ac:dyDescent="0.35">
      <c r="A17" t="s">
        <v>30</v>
      </c>
      <c r="B17" t="s">
        <v>22</v>
      </c>
      <c r="C17">
        <v>101</v>
      </c>
      <c r="D17">
        <v>14.69012605427209</v>
      </c>
      <c r="E17">
        <v>14.504950495049499</v>
      </c>
      <c r="F17">
        <v>0.80688831233665614</v>
      </c>
      <c r="G17">
        <v>0.99602655995976042</v>
      </c>
      <c r="H17">
        <v>0.12689973180256911</v>
      </c>
      <c r="I17">
        <v>0.22511807632318051</v>
      </c>
      <c r="J17">
        <v>196</v>
      </c>
      <c r="K17">
        <v>2</v>
      </c>
      <c r="L17">
        <v>0.60000000000000009</v>
      </c>
      <c r="M17" t="s">
        <v>16</v>
      </c>
    </row>
    <row r="18" spans="1:18" x14ac:dyDescent="0.35">
      <c r="A18" t="s">
        <v>31</v>
      </c>
      <c r="B18" t="s">
        <v>22</v>
      </c>
      <c r="C18">
        <v>90</v>
      </c>
      <c r="D18">
        <v>45.045693287037039</v>
      </c>
      <c r="E18">
        <v>14.233333333333331</v>
      </c>
      <c r="F18">
        <v>0.8359913467185156</v>
      </c>
      <c r="G18">
        <v>0.97896743437633038</v>
      </c>
      <c r="H18">
        <v>0.18711452699497111</v>
      </c>
      <c r="I18">
        <v>0.31417865037787002</v>
      </c>
      <c r="J18">
        <v>217</v>
      </c>
      <c r="K18">
        <v>5</v>
      </c>
      <c r="L18">
        <v>0.63758389261744963</v>
      </c>
      <c r="M18" t="s">
        <v>16</v>
      </c>
    </row>
    <row r="19" spans="1:18" x14ac:dyDescent="0.35">
      <c r="A19" t="s">
        <v>32</v>
      </c>
      <c r="B19" t="s">
        <v>22</v>
      </c>
      <c r="C19">
        <v>107</v>
      </c>
      <c r="D19">
        <v>10.12987452405677</v>
      </c>
      <c r="E19">
        <v>11.83177570093458</v>
      </c>
      <c r="F19">
        <v>0.7939127281859828</v>
      </c>
      <c r="G19">
        <v>0.93010550590259522</v>
      </c>
      <c r="H19">
        <v>0.31656060381826262</v>
      </c>
      <c r="I19">
        <v>0.47235544187391648</v>
      </c>
      <c r="J19">
        <v>134</v>
      </c>
      <c r="K19">
        <v>6</v>
      </c>
      <c r="L19">
        <v>0.61702127659574468</v>
      </c>
      <c r="M19" t="s">
        <v>16</v>
      </c>
    </row>
    <row r="20" spans="1:18" x14ac:dyDescent="0.35">
      <c r="A20" t="s">
        <v>33</v>
      </c>
      <c r="B20" t="s">
        <v>22</v>
      </c>
      <c r="C20">
        <v>36</v>
      </c>
      <c r="D20">
        <v>220.31636509773659</v>
      </c>
      <c r="E20">
        <v>17.861111111111111</v>
      </c>
      <c r="F20">
        <v>0.74336044897267017</v>
      </c>
      <c r="G20">
        <v>0.99492236257852418</v>
      </c>
      <c r="H20">
        <v>0.13279518835074389</v>
      </c>
      <c r="I20">
        <v>0.23431559156654291</v>
      </c>
      <c r="J20">
        <v>178</v>
      </c>
      <c r="K20">
        <v>4</v>
      </c>
      <c r="L20">
        <v>0.6393442622950819</v>
      </c>
      <c r="M20" t="s">
        <v>16</v>
      </c>
    </row>
    <row r="21" spans="1:18" x14ac:dyDescent="0.35">
      <c r="A21" t="s">
        <v>34</v>
      </c>
      <c r="B21" t="s">
        <v>22</v>
      </c>
      <c r="C21">
        <v>472</v>
      </c>
      <c r="D21">
        <v>116.0141075457078</v>
      </c>
      <c r="E21">
        <v>13.62076271186441</v>
      </c>
      <c r="F21">
        <v>0.7761597633494115</v>
      </c>
      <c r="G21">
        <v>0.96697245742014304</v>
      </c>
      <c r="H21">
        <v>0.39100730854782328</v>
      </c>
      <c r="I21">
        <v>0.55684673290580344</v>
      </c>
      <c r="J21">
        <v>467</v>
      </c>
      <c r="K21">
        <v>12</v>
      </c>
      <c r="L21">
        <v>0.64263322884012541</v>
      </c>
      <c r="M21" t="s">
        <v>16</v>
      </c>
    </row>
    <row r="22" spans="1:18" x14ac:dyDescent="0.35">
      <c r="A22" t="s">
        <v>35</v>
      </c>
      <c r="B22" t="s">
        <v>22</v>
      </c>
      <c r="C22">
        <v>500</v>
      </c>
      <c r="D22">
        <v>16.204663796296291</v>
      </c>
      <c r="E22">
        <v>11.984</v>
      </c>
      <c r="F22">
        <v>0.87373429806650371</v>
      </c>
      <c r="G22">
        <v>0.94256903712013806</v>
      </c>
      <c r="H22">
        <v>0.37510280050209932</v>
      </c>
      <c r="I22">
        <v>0.53664391299177627</v>
      </c>
      <c r="J22">
        <v>173</v>
      </c>
      <c r="K22">
        <v>5</v>
      </c>
      <c r="L22">
        <v>0.66956521739130437</v>
      </c>
      <c r="M22" t="s">
        <v>16</v>
      </c>
      <c r="N22" t="s">
        <v>36</v>
      </c>
      <c r="O22" t="s">
        <v>38</v>
      </c>
      <c r="P22" t="s">
        <v>39</v>
      </c>
    </row>
    <row r="23" spans="1:18" s="2" customFormat="1" x14ac:dyDescent="0.35">
      <c r="A23" s="2" t="s">
        <v>21</v>
      </c>
      <c r="B23" s="2" t="s">
        <v>22</v>
      </c>
      <c r="C23" s="2">
        <v>1580</v>
      </c>
      <c r="D23" s="2">
        <v>78.84267651928036</v>
      </c>
      <c r="E23" s="2">
        <v>12.94240506329114</v>
      </c>
      <c r="F23" s="2">
        <v>0.87173348102372084</v>
      </c>
      <c r="G23" s="2">
        <v>0.95820480641733763</v>
      </c>
      <c r="H23" s="2">
        <v>0.44984212682879798</v>
      </c>
      <c r="I23" s="1">
        <v>0.61225358030164911</v>
      </c>
      <c r="J23" s="2">
        <v>341</v>
      </c>
      <c r="K23" s="2">
        <v>6</v>
      </c>
      <c r="L23" s="2">
        <v>0.63404255319148939</v>
      </c>
      <c r="M23" s="2" t="s">
        <v>16</v>
      </c>
      <c r="N23" s="2">
        <f>AVERAGE(I13:I22)</f>
        <v>0.38329806481689238</v>
      </c>
      <c r="O23" s="2">
        <f>AVERAGE(I13:I17)</f>
        <v>0.34372806369060305</v>
      </c>
      <c r="P23" s="2">
        <f>(C13*I13+C14*I14+C15*I15+C16*I16+C17*I17+C18*I18+C19*I19+C20*I20+C21*I21+C22*I22)/C23</f>
        <v>0.48454808275306099</v>
      </c>
      <c r="Q23" s="1">
        <f>($C$2*J13+$C$3*J14+$C$4*J15+$C$5*J16+$C$6*J17+$C$7*J18+$C$8*J19+$C$9*J20+$C$10*J21+$C$11*J22)/$C$12</f>
        <v>280.16392405063289</v>
      </c>
      <c r="R23" s="1">
        <f>($C$2*K13+$C$3*K14+$C$4*K15+$C$5*K16+$C$6*K17+$C$7*K18+$C$8*K19+$C$9*K20+$C$10*K21+$C$11*K22)/$C$12</f>
        <v>7.3746835443037977</v>
      </c>
    </row>
    <row r="24" spans="1:18" x14ac:dyDescent="0.35">
      <c r="A24" t="s">
        <v>26</v>
      </c>
      <c r="B24" t="s">
        <v>23</v>
      </c>
      <c r="C24">
        <v>23</v>
      </c>
      <c r="D24">
        <v>46.448382145732687</v>
      </c>
      <c r="E24">
        <v>11.739130434782609</v>
      </c>
      <c r="F24">
        <v>0.55480191858825079</v>
      </c>
      <c r="G24">
        <v>0.90818188483125484</v>
      </c>
      <c r="H24">
        <v>0.51977401129943501</v>
      </c>
      <c r="I24">
        <v>0.66115395096911278</v>
      </c>
      <c r="J24">
        <v>169</v>
      </c>
      <c r="K24">
        <v>1</v>
      </c>
      <c r="L24">
        <v>0.63793103448275867</v>
      </c>
      <c r="M24" t="s">
        <v>16</v>
      </c>
    </row>
    <row r="25" spans="1:18" x14ac:dyDescent="0.35">
      <c r="A25" t="s">
        <v>27</v>
      </c>
      <c r="B25" t="s">
        <v>23</v>
      </c>
      <c r="C25">
        <v>33</v>
      </c>
      <c r="D25">
        <v>21.724242073512901</v>
      </c>
      <c r="E25">
        <v>13.90909090909091</v>
      </c>
      <c r="F25">
        <v>0.62457965138054539</v>
      </c>
      <c r="G25">
        <v>0.91676575505350777</v>
      </c>
      <c r="H25">
        <v>0.68484848484848482</v>
      </c>
      <c r="I25">
        <v>0.78401605413772013</v>
      </c>
      <c r="J25">
        <v>148</v>
      </c>
      <c r="K25">
        <v>0</v>
      </c>
      <c r="L25">
        <v>0.67346938775510201</v>
      </c>
      <c r="M25" t="s">
        <v>16</v>
      </c>
    </row>
    <row r="26" spans="1:18" x14ac:dyDescent="0.35">
      <c r="A26" t="s">
        <v>28</v>
      </c>
      <c r="B26" t="s">
        <v>23</v>
      </c>
      <c r="C26">
        <v>14</v>
      </c>
      <c r="D26">
        <v>105.84598792989421</v>
      </c>
      <c r="E26">
        <v>12</v>
      </c>
      <c r="F26">
        <v>0.47433057384190258</v>
      </c>
      <c r="G26">
        <v>0.89419795221843001</v>
      </c>
      <c r="H26">
        <v>0.62295081967213117</v>
      </c>
      <c r="I26">
        <v>0.73432659684319224</v>
      </c>
      <c r="J26">
        <v>143</v>
      </c>
      <c r="K26">
        <v>0</v>
      </c>
      <c r="L26">
        <v>0.64948453608247425</v>
      </c>
      <c r="M26" t="s">
        <v>16</v>
      </c>
    </row>
    <row r="27" spans="1:18" x14ac:dyDescent="0.35">
      <c r="A27" t="s">
        <v>29</v>
      </c>
      <c r="B27" t="s">
        <v>23</v>
      </c>
      <c r="C27">
        <v>204</v>
      </c>
      <c r="D27">
        <v>215.14843523057371</v>
      </c>
      <c r="E27">
        <v>12.13725490196078</v>
      </c>
      <c r="F27">
        <v>0.76027406225349892</v>
      </c>
      <c r="G27">
        <v>0.86142571214706098</v>
      </c>
      <c r="H27">
        <v>0.4879038551584205</v>
      </c>
      <c r="I27">
        <v>0.62296556167287576</v>
      </c>
      <c r="J27">
        <v>316</v>
      </c>
      <c r="K27">
        <v>27</v>
      </c>
      <c r="L27">
        <v>0.49606299212598431</v>
      </c>
      <c r="M27" t="s">
        <v>16</v>
      </c>
    </row>
    <row r="28" spans="1:18" x14ac:dyDescent="0.35">
      <c r="A28" t="s">
        <v>30</v>
      </c>
      <c r="B28" t="s">
        <v>23</v>
      </c>
      <c r="C28">
        <v>101</v>
      </c>
      <c r="D28">
        <v>14.69012605427209</v>
      </c>
      <c r="E28">
        <v>14.504950495049499</v>
      </c>
      <c r="F28">
        <v>0.7434143828348253</v>
      </c>
      <c r="G28">
        <v>0.90939226519337013</v>
      </c>
      <c r="H28">
        <v>0.61771844660194175</v>
      </c>
      <c r="I28">
        <v>0.73570091947906424</v>
      </c>
      <c r="J28">
        <v>201</v>
      </c>
      <c r="K28">
        <v>0</v>
      </c>
      <c r="L28">
        <v>0.61702127659574468</v>
      </c>
      <c r="M28" t="s">
        <v>16</v>
      </c>
    </row>
    <row r="29" spans="1:18" x14ac:dyDescent="0.35">
      <c r="A29" t="s">
        <v>31</v>
      </c>
      <c r="B29" t="s">
        <v>23</v>
      </c>
      <c r="C29">
        <v>90</v>
      </c>
      <c r="D29">
        <v>45.045693287037039</v>
      </c>
      <c r="E29">
        <v>14.233333333333331</v>
      </c>
      <c r="F29">
        <v>0.66874738432006509</v>
      </c>
      <c r="G29">
        <v>0.81628310566854001</v>
      </c>
      <c r="H29">
        <v>0.36012285641156888</v>
      </c>
      <c r="I29">
        <v>0.49976319931952778</v>
      </c>
      <c r="J29">
        <v>335</v>
      </c>
      <c r="K29">
        <v>28</v>
      </c>
      <c r="L29">
        <v>0.4642857142857143</v>
      </c>
      <c r="M29" t="s">
        <v>16</v>
      </c>
    </row>
    <row r="30" spans="1:18" x14ac:dyDescent="0.35">
      <c r="A30" t="s">
        <v>32</v>
      </c>
      <c r="B30" t="s">
        <v>23</v>
      </c>
      <c r="C30">
        <v>107</v>
      </c>
      <c r="D30">
        <v>10.12987452405677</v>
      </c>
      <c r="E30">
        <v>11.83177570093458</v>
      </c>
      <c r="F30">
        <v>0.59774103578167059</v>
      </c>
      <c r="G30">
        <v>0.84501858143774489</v>
      </c>
      <c r="H30">
        <v>0.44848627082844411</v>
      </c>
      <c r="I30">
        <v>0.58597264897119439</v>
      </c>
      <c r="J30">
        <v>294</v>
      </c>
      <c r="K30">
        <v>28</v>
      </c>
      <c r="L30">
        <v>0.44444444444444442</v>
      </c>
      <c r="M30" t="s">
        <v>16</v>
      </c>
    </row>
    <row r="31" spans="1:18" x14ac:dyDescent="0.35">
      <c r="A31" t="s">
        <v>33</v>
      </c>
      <c r="B31" t="s">
        <v>23</v>
      </c>
      <c r="C31">
        <v>36</v>
      </c>
      <c r="D31">
        <v>220.31636509773659</v>
      </c>
      <c r="E31">
        <v>17.861111111111111</v>
      </c>
      <c r="F31">
        <v>0.60491701133478248</v>
      </c>
      <c r="G31">
        <v>0.93390804597701149</v>
      </c>
      <c r="H31">
        <v>0.38735177865612652</v>
      </c>
      <c r="I31">
        <v>0.54758486705808529</v>
      </c>
      <c r="J31">
        <v>248</v>
      </c>
      <c r="K31">
        <v>1</v>
      </c>
      <c r="L31">
        <v>0.55080213903743314</v>
      </c>
      <c r="M31" t="s">
        <v>16</v>
      </c>
    </row>
    <row r="32" spans="1:18" x14ac:dyDescent="0.35">
      <c r="A32" t="s">
        <v>34</v>
      </c>
      <c r="B32" t="s">
        <v>23</v>
      </c>
      <c r="C32">
        <v>472</v>
      </c>
      <c r="D32">
        <v>116.0141075457078</v>
      </c>
      <c r="E32">
        <v>13.62076271186441</v>
      </c>
      <c r="F32">
        <v>0.66552407903620547</v>
      </c>
      <c r="G32">
        <v>0.74009694495810541</v>
      </c>
      <c r="H32">
        <v>0.40164415736934822</v>
      </c>
      <c r="I32">
        <v>0.52070581189267473</v>
      </c>
      <c r="J32">
        <v>705</v>
      </c>
      <c r="K32">
        <v>133</v>
      </c>
      <c r="L32">
        <v>0.37878787878787878</v>
      </c>
      <c r="M32" t="s">
        <v>16</v>
      </c>
    </row>
    <row r="33" spans="1:18" x14ac:dyDescent="0.35">
      <c r="A33" t="s">
        <v>35</v>
      </c>
      <c r="B33" t="s">
        <v>23</v>
      </c>
      <c r="C33">
        <v>500</v>
      </c>
      <c r="D33">
        <v>16.204663796296291</v>
      </c>
      <c r="E33">
        <v>11.984</v>
      </c>
      <c r="F33">
        <v>0.75531696148550764</v>
      </c>
      <c r="G33">
        <v>0.95014887172505536</v>
      </c>
      <c r="H33">
        <v>0.46372027218217338</v>
      </c>
      <c r="I33">
        <v>0.6232589420437028</v>
      </c>
      <c r="J33">
        <v>321</v>
      </c>
      <c r="K33">
        <v>13</v>
      </c>
      <c r="L33">
        <v>0.52610441767068272</v>
      </c>
      <c r="M33" t="s">
        <v>16</v>
      </c>
      <c r="N33" t="s">
        <v>36</v>
      </c>
      <c r="O33" t="s">
        <v>38</v>
      </c>
      <c r="P33" t="s">
        <v>39</v>
      </c>
    </row>
    <row r="34" spans="1:18" s="2" customFormat="1" x14ac:dyDescent="0.35">
      <c r="A34" s="2" t="s">
        <v>21</v>
      </c>
      <c r="B34" s="2" t="s">
        <v>23</v>
      </c>
      <c r="C34" s="2">
        <v>1580</v>
      </c>
      <c r="D34" s="2">
        <v>78.84267651928036</v>
      </c>
      <c r="E34" s="2">
        <v>12.94240506329114</v>
      </c>
      <c r="F34" s="2">
        <v>0.75950949474997487</v>
      </c>
      <c r="G34" s="2">
        <v>0.73182652869273723</v>
      </c>
      <c r="H34" s="2">
        <v>0.41679185053046658</v>
      </c>
      <c r="I34" s="2">
        <v>0.53110648180192688</v>
      </c>
      <c r="J34" s="2">
        <v>719</v>
      </c>
      <c r="K34" s="2">
        <v>147</v>
      </c>
      <c r="L34" s="2">
        <v>0.36642335766423362</v>
      </c>
      <c r="M34" s="2" t="s">
        <v>16</v>
      </c>
      <c r="N34" s="1">
        <f>AVERAGE(I24:I33)</f>
        <v>0.63154485523871495</v>
      </c>
      <c r="O34" s="1">
        <f>AVERAGE(I24:I28)</f>
        <v>0.70763261662039301</v>
      </c>
      <c r="P34" s="1">
        <f>(C24*I24+C25*I25+C26*I26+C27*I27+C28*I28+C29*I29+C30*I30+C31*I31+C32*I32+C33*I33)/C34</f>
        <v>0.59338217803243765</v>
      </c>
      <c r="Q34" s="1">
        <f>($C$2*J24+$C$3*J25+$C$4*J26+$C$5*J27+$C$6*J28+$C$7*J29+$C$8*J30+$C$9*J31+$C$10*J32+$C$11*J33)/$C$12</f>
        <v>417.3</v>
      </c>
      <c r="R34" s="1">
        <f>($C$2*K24+$C$3*K25+$C$4*K26+$C$5*K27+$C$6*K28+$C$7*K29+$C$8*K30+$C$9*K31+$C$10*K32+$C$11*K33)/$C$12</f>
        <v>50.860126582278482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2026-08-28T12:51:28Z</dcterms:created>
  <dcterms:modified xsi:type="dcterms:W3CDTF">2026-09-15T15:56:29Z</dcterms:modified>
</cp:coreProperties>
</file>