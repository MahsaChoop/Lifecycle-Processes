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mpusfl-my.sharepoint.com/personal/mahsa_choopannezhad_uni_li/Documents/Desktop/PhD materials/codes/Lifecycles-Processes/results/tables/semantic-release/"/>
    </mc:Choice>
  </mc:AlternateContent>
  <xr:revisionPtr revIDLastSave="13" documentId="11_EB556F4F0D03ED8CF15A0B5EFF07DC9AB5377A8D" xr6:coauthVersionLast="47" xr6:coauthVersionMax="47" xr10:uidLastSave="{08D246BD-B6C6-43AE-BA5F-445B23E1B0A3}"/>
  <bookViews>
    <workbookView xWindow="-110" yWindow="-110" windowWidth="19420" windowHeight="11500" xr2:uid="{00000000-000D-0000-FFFF-FFFF00000000}"/>
  </bookViews>
  <sheets>
    <sheet name="commit_categories" sheetId="1" r:id="rId1"/>
    <sheet name="anomaly_normal" sheetId="2" r:id="rId2"/>
    <sheet name="anomaly_categor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4" i="3" l="1"/>
  <c r="O34" i="3"/>
  <c r="N34" i="3"/>
  <c r="P23" i="3"/>
  <c r="O23" i="3"/>
  <c r="N23" i="3"/>
  <c r="P12" i="3"/>
  <c r="O12" i="3"/>
  <c r="N12" i="3"/>
  <c r="O10" i="2"/>
  <c r="N10" i="2"/>
  <c r="O7" i="2"/>
  <c r="N7" i="2"/>
  <c r="O4" i="2"/>
  <c r="N4" i="2"/>
  <c r="O19" i="1"/>
  <c r="N19" i="1"/>
  <c r="O13" i="1"/>
  <c r="N13" i="1"/>
  <c r="O7" i="1"/>
  <c r="N7" i="1"/>
</calcChain>
</file>

<file path=xl/sharedStrings.xml><?xml version="1.0" encoding="utf-8"?>
<sst xmlns="http://schemas.openxmlformats.org/spreadsheetml/2006/main" count="243" uniqueCount="40">
  <si>
    <t>log_name</t>
  </si>
  <si>
    <t>discovery_method</t>
  </si>
  <si>
    <t>n_cases</t>
  </si>
  <si>
    <t>avg_cycle_time_days</t>
  </si>
  <si>
    <t>avg_trace_length</t>
  </si>
  <si>
    <t>generalization</t>
  </si>
  <si>
    <t>fitness</t>
  </si>
  <si>
    <t>precision</t>
  </si>
  <si>
    <t>f_score</t>
  </si>
  <si>
    <t>size</t>
  </si>
  <si>
    <t>cfc</t>
  </si>
  <si>
    <t>simplicity</t>
  </si>
  <si>
    <t>status</t>
  </si>
  <si>
    <t>error</t>
  </si>
  <si>
    <t>bug_fixes</t>
  </si>
  <si>
    <t>heuristics_dep_0.5</t>
  </si>
  <si>
    <t>ok</t>
  </si>
  <si>
    <t>docs</t>
  </si>
  <si>
    <t>feature_work</t>
  </si>
  <si>
    <t>other</t>
  </si>
  <si>
    <t>tech_debt</t>
  </si>
  <si>
    <t>whole</t>
  </si>
  <si>
    <t>inductive_IMf_noise_0.2</t>
  </si>
  <si>
    <t>split_miner_eps_0.2_eta_0.5</t>
  </si>
  <si>
    <t>anomaly</t>
  </si>
  <si>
    <t>normal</t>
  </si>
  <si>
    <t>anomaly_bug_fixes</t>
  </si>
  <si>
    <t>anomaly_docs</t>
  </si>
  <si>
    <t>anomaly_feature_work</t>
  </si>
  <si>
    <t>anomaly_other</t>
  </si>
  <si>
    <t>anomaly_tech_debt</t>
  </si>
  <si>
    <t>normal_bug_fixes</t>
  </si>
  <si>
    <t>normal_docs</t>
  </si>
  <si>
    <t>normal_feature_work</t>
  </si>
  <si>
    <t>normal_other</t>
  </si>
  <si>
    <t>normal_tech_debt</t>
  </si>
  <si>
    <t>average</t>
  </si>
  <si>
    <t>weighted average</t>
  </si>
  <si>
    <t>anomaly average</t>
  </si>
  <si>
    <t>wighted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</si>
</sst>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2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9"/>
  <sheetViews>
    <sheetView tabSelected="1" workbookViewId="0">
      <selection activeCell="I21" sqref="I21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5">
      <c r="A2" t="s">
        <v>14</v>
      </c>
      <c r="B2" t="s">
        <v>15</v>
      </c>
      <c r="C2">
        <v>309</v>
      </c>
      <c r="D2">
        <v>332.68988628191289</v>
      </c>
      <c r="E2">
        <v>20.08414239482201</v>
      </c>
      <c r="F2">
        <v>0.58577114099243444</v>
      </c>
      <c r="G2">
        <v>0.9082248853483903</v>
      </c>
      <c r="H2">
        <v>0.23839223839223839</v>
      </c>
      <c r="I2">
        <v>0.377656602014455</v>
      </c>
      <c r="J2">
        <v>530</v>
      </c>
      <c r="K2">
        <v>30</v>
      </c>
      <c r="L2">
        <v>0.45011086474501111</v>
      </c>
      <c r="M2" t="s">
        <v>16</v>
      </c>
    </row>
    <row r="3" spans="1:15" x14ac:dyDescent="0.35">
      <c r="A3" t="s">
        <v>17</v>
      </c>
      <c r="B3" t="s">
        <v>15</v>
      </c>
      <c r="C3">
        <v>202</v>
      </c>
      <c r="D3">
        <v>225.1257220617895</v>
      </c>
      <c r="E3">
        <v>16.113861386138609</v>
      </c>
      <c r="F3">
        <v>0.56221350620886423</v>
      </c>
      <c r="G3">
        <v>0.9003828745875414</v>
      </c>
      <c r="H3">
        <v>0.50424491896063794</v>
      </c>
      <c r="I3">
        <v>0.64645380322864621</v>
      </c>
      <c r="J3">
        <v>404</v>
      </c>
      <c r="K3">
        <v>21</v>
      </c>
      <c r="L3">
        <v>0.48036253776435039</v>
      </c>
      <c r="M3" t="s">
        <v>16</v>
      </c>
    </row>
    <row r="4" spans="1:15" x14ac:dyDescent="0.35">
      <c r="A4" t="s">
        <v>18</v>
      </c>
      <c r="B4" t="s">
        <v>15</v>
      </c>
      <c r="C4">
        <v>59</v>
      </c>
      <c r="D4">
        <v>717.40077232423107</v>
      </c>
      <c r="E4">
        <v>17.101694915254239</v>
      </c>
      <c r="F4">
        <v>0.46706946102105212</v>
      </c>
      <c r="G4">
        <v>0.86738106144885807</v>
      </c>
      <c r="H4">
        <v>0.48351648351648352</v>
      </c>
      <c r="I4">
        <v>0.62091021227121501</v>
      </c>
      <c r="J4">
        <v>482</v>
      </c>
      <c r="K4">
        <v>32</v>
      </c>
      <c r="L4">
        <v>0.43540669856459341</v>
      </c>
      <c r="M4" t="s">
        <v>16</v>
      </c>
    </row>
    <row r="5" spans="1:15" x14ac:dyDescent="0.35">
      <c r="A5" t="s">
        <v>19</v>
      </c>
      <c r="B5" t="s">
        <v>15</v>
      </c>
      <c r="C5">
        <v>1458</v>
      </c>
      <c r="D5">
        <v>559.82120228274403</v>
      </c>
      <c r="E5">
        <v>14.51440329218107</v>
      </c>
      <c r="F5">
        <v>0.56512123783876755</v>
      </c>
      <c r="G5">
        <v>0.8990947948883079</v>
      </c>
      <c r="H5">
        <v>0.35444378087844081</v>
      </c>
      <c r="I5">
        <v>0.50844635279518657</v>
      </c>
      <c r="J5">
        <v>936</v>
      </c>
      <c r="K5">
        <v>47</v>
      </c>
      <c r="L5">
        <v>0.42857142857142849</v>
      </c>
      <c r="M5" t="s">
        <v>16</v>
      </c>
    </row>
    <row r="6" spans="1:15" x14ac:dyDescent="0.35">
      <c r="A6" t="s">
        <v>20</v>
      </c>
      <c r="B6" t="s">
        <v>15</v>
      </c>
      <c r="C6">
        <v>1169</v>
      </c>
      <c r="D6">
        <v>154.06208704614579</v>
      </c>
      <c r="E6">
        <v>11.38836612489307</v>
      </c>
      <c r="F6">
        <v>0.575308085857555</v>
      </c>
      <c r="G6">
        <v>0.93484841898770421</v>
      </c>
      <c r="H6">
        <v>0.64562653015802351</v>
      </c>
      <c r="I6">
        <v>0.76377413169500874</v>
      </c>
      <c r="J6">
        <v>436</v>
      </c>
      <c r="K6">
        <v>17</v>
      </c>
      <c r="L6">
        <v>0.50432276657060526</v>
      </c>
      <c r="M6" t="s">
        <v>16</v>
      </c>
      <c r="N6" t="s">
        <v>36</v>
      </c>
      <c r="O6" t="s">
        <v>37</v>
      </c>
    </row>
    <row r="7" spans="1:15" s="2" customFormat="1" x14ac:dyDescent="0.35">
      <c r="A7" s="2" t="s">
        <v>21</v>
      </c>
      <c r="B7" s="2" t="s">
        <v>15</v>
      </c>
      <c r="C7" s="2">
        <v>3197</v>
      </c>
      <c r="D7" s="2">
        <v>371.26090365026818</v>
      </c>
      <c r="E7" s="2">
        <v>14.05849233656553</v>
      </c>
      <c r="F7" s="2">
        <v>0.58354094016894753</v>
      </c>
      <c r="G7" s="2">
        <v>0.91769525769943627</v>
      </c>
      <c r="H7" s="2">
        <v>0.35687198934098602</v>
      </c>
      <c r="I7" s="2">
        <v>0.51389949488259545</v>
      </c>
      <c r="J7" s="2">
        <v>978</v>
      </c>
      <c r="K7" s="2">
        <v>54</v>
      </c>
      <c r="L7" s="2">
        <v>0.42923976608187131</v>
      </c>
      <c r="M7" s="2" t="s">
        <v>16</v>
      </c>
      <c r="N7" s="1">
        <f>AVERAGE(I2:I6)</f>
        <v>0.58344822040090238</v>
      </c>
      <c r="O7" s="1">
        <f>(C2*I2+C3*I3+C4*I4+C5*I5+C6*I6)/C7</f>
        <v>0.59996246578839607</v>
      </c>
    </row>
    <row r="8" spans="1:15" x14ac:dyDescent="0.35">
      <c r="A8" t="s">
        <v>14</v>
      </c>
      <c r="B8" t="s">
        <v>22</v>
      </c>
      <c r="C8">
        <v>309</v>
      </c>
      <c r="D8">
        <v>332.68988628191289</v>
      </c>
      <c r="E8">
        <v>20.08414239482201</v>
      </c>
      <c r="F8">
        <v>0.74272111183378997</v>
      </c>
      <c r="G8">
        <v>0.94264218415670453</v>
      </c>
      <c r="H8">
        <v>0.27646487536419551</v>
      </c>
      <c r="I8">
        <v>0.42753825748221508</v>
      </c>
      <c r="J8">
        <v>296</v>
      </c>
      <c r="K8">
        <v>7</v>
      </c>
      <c r="L8">
        <v>0.64356435643564369</v>
      </c>
      <c r="M8" t="s">
        <v>16</v>
      </c>
    </row>
    <row r="9" spans="1:15" x14ac:dyDescent="0.35">
      <c r="A9" t="s">
        <v>17</v>
      </c>
      <c r="B9" t="s">
        <v>22</v>
      </c>
      <c r="C9">
        <v>202</v>
      </c>
      <c r="D9">
        <v>225.1257220617895</v>
      </c>
      <c r="E9">
        <v>16.113861386138609</v>
      </c>
      <c r="F9">
        <v>0.81651818255308506</v>
      </c>
      <c r="G9">
        <v>0.96933674601297759</v>
      </c>
      <c r="H9">
        <v>0.4231376131550536</v>
      </c>
      <c r="I9">
        <v>0.58911366568570755</v>
      </c>
      <c r="J9">
        <v>188</v>
      </c>
      <c r="K9">
        <v>4</v>
      </c>
      <c r="L9">
        <v>0.63076923076923075</v>
      </c>
      <c r="M9" t="s">
        <v>16</v>
      </c>
    </row>
    <row r="10" spans="1:15" x14ac:dyDescent="0.35">
      <c r="A10" t="s">
        <v>18</v>
      </c>
      <c r="B10" t="s">
        <v>22</v>
      </c>
      <c r="C10">
        <v>59</v>
      </c>
      <c r="D10">
        <v>717.40077232423107</v>
      </c>
      <c r="E10">
        <v>17.101694915254239</v>
      </c>
      <c r="F10">
        <v>0.80386118969374309</v>
      </c>
      <c r="G10">
        <v>0.98195763008177051</v>
      </c>
      <c r="H10">
        <v>0.21998781230956729</v>
      </c>
      <c r="I10">
        <v>0.35944844616673238</v>
      </c>
      <c r="J10">
        <v>144</v>
      </c>
      <c r="K10">
        <v>3</v>
      </c>
      <c r="L10">
        <v>0.60784313725490202</v>
      </c>
      <c r="M10" t="s">
        <v>16</v>
      </c>
    </row>
    <row r="11" spans="1:15" x14ac:dyDescent="0.35">
      <c r="A11" t="s">
        <v>19</v>
      </c>
      <c r="B11" t="s">
        <v>22</v>
      </c>
      <c r="C11">
        <v>1458</v>
      </c>
      <c r="D11">
        <v>559.82120228274403</v>
      </c>
      <c r="E11">
        <v>14.51440329218107</v>
      </c>
      <c r="F11">
        <v>0.72243856460967093</v>
      </c>
      <c r="G11">
        <v>0.97968081294614195</v>
      </c>
      <c r="H11">
        <v>0.1726929708388516</v>
      </c>
      <c r="I11">
        <v>0.29362693327819811</v>
      </c>
      <c r="J11">
        <v>510</v>
      </c>
      <c r="K11">
        <v>8</v>
      </c>
      <c r="L11">
        <v>0.61111111111111116</v>
      </c>
      <c r="M11" t="s">
        <v>16</v>
      </c>
    </row>
    <row r="12" spans="1:15" x14ac:dyDescent="0.35">
      <c r="A12" t="s">
        <v>20</v>
      </c>
      <c r="B12" t="s">
        <v>22</v>
      </c>
      <c r="C12">
        <v>1169</v>
      </c>
      <c r="D12">
        <v>154.06208704614579</v>
      </c>
      <c r="E12">
        <v>11.38836612489307</v>
      </c>
      <c r="F12">
        <v>0.8517331949860556</v>
      </c>
      <c r="G12">
        <v>0.99418809357258875</v>
      </c>
      <c r="H12">
        <v>0.18554744309638491</v>
      </c>
      <c r="I12">
        <v>0.31272951095483392</v>
      </c>
      <c r="J12">
        <v>225</v>
      </c>
      <c r="K12">
        <v>4</v>
      </c>
      <c r="L12">
        <v>0.61006289308176098</v>
      </c>
      <c r="M12" t="s">
        <v>16</v>
      </c>
      <c r="N12" t="s">
        <v>36</v>
      </c>
      <c r="O12" t="s">
        <v>37</v>
      </c>
    </row>
    <row r="13" spans="1:15" s="2" customFormat="1" x14ac:dyDescent="0.35">
      <c r="A13" s="2" t="s">
        <v>21</v>
      </c>
      <c r="B13" s="2" t="s">
        <v>22</v>
      </c>
      <c r="C13" s="2">
        <v>3197</v>
      </c>
      <c r="D13" s="2">
        <v>371.26090365026818</v>
      </c>
      <c r="E13" s="2">
        <v>14.05849233656553</v>
      </c>
      <c r="F13" s="2">
        <v>0.81011647527417585</v>
      </c>
      <c r="G13" s="2">
        <v>0.98932479048380761</v>
      </c>
      <c r="H13" s="2">
        <v>0.16074958020031971</v>
      </c>
      <c r="I13" s="2">
        <v>0.27656219250836689</v>
      </c>
      <c r="J13" s="2">
        <v>578</v>
      </c>
      <c r="K13" s="2">
        <v>15</v>
      </c>
      <c r="L13" s="2">
        <v>0.62999999999999989</v>
      </c>
      <c r="M13" s="2" t="s">
        <v>16</v>
      </c>
      <c r="N13" s="1">
        <f>AVERAGE(I8:I12)</f>
        <v>0.39649136271353741</v>
      </c>
      <c r="O13" s="1">
        <f>(C8*I8+C9*I9+C10*I10+C11*I11+C12*I12)/C13</f>
        <v>0.33343966449176365</v>
      </c>
    </row>
    <row r="14" spans="1:15" x14ac:dyDescent="0.35">
      <c r="A14" t="s">
        <v>14</v>
      </c>
      <c r="B14" t="s">
        <v>23</v>
      </c>
      <c r="C14">
        <v>309</v>
      </c>
      <c r="D14">
        <v>332.68988628191289</v>
      </c>
      <c r="E14">
        <v>20.08414239482201</v>
      </c>
      <c r="F14">
        <v>0.67945165130480456</v>
      </c>
      <c r="G14">
        <v>0.77857666677411919</v>
      </c>
      <c r="H14">
        <v>0.35062485262909687</v>
      </c>
      <c r="I14">
        <v>0.48350683975771408</v>
      </c>
      <c r="J14">
        <v>455</v>
      </c>
      <c r="K14">
        <v>109</v>
      </c>
      <c r="L14">
        <v>0.3529411764705882</v>
      </c>
      <c r="M14" t="s">
        <v>16</v>
      </c>
    </row>
    <row r="15" spans="1:15" x14ac:dyDescent="0.35">
      <c r="A15" t="s">
        <v>17</v>
      </c>
      <c r="B15" t="s">
        <v>23</v>
      </c>
      <c r="C15">
        <v>202</v>
      </c>
      <c r="D15">
        <v>225.1257220617895</v>
      </c>
      <c r="E15">
        <v>16.113861386138609</v>
      </c>
      <c r="F15">
        <v>0.77183655914862936</v>
      </c>
      <c r="G15">
        <v>0.87940562569276814</v>
      </c>
      <c r="H15">
        <v>0.75924357888794813</v>
      </c>
      <c r="I15">
        <v>0.81491886448755047</v>
      </c>
      <c r="J15">
        <v>276</v>
      </c>
      <c r="K15">
        <v>30</v>
      </c>
      <c r="L15">
        <v>0.48444444444444451</v>
      </c>
      <c r="M15" t="s">
        <v>16</v>
      </c>
    </row>
    <row r="16" spans="1:15" x14ac:dyDescent="0.35">
      <c r="A16" t="s">
        <v>18</v>
      </c>
      <c r="B16" t="s">
        <v>23</v>
      </c>
      <c r="C16">
        <v>59</v>
      </c>
      <c r="D16">
        <v>717.40077232423107</v>
      </c>
      <c r="E16">
        <v>17.101694915254239</v>
      </c>
      <c r="F16">
        <v>0.64272857627807012</v>
      </c>
      <c r="G16">
        <v>0.85226167114222351</v>
      </c>
      <c r="H16">
        <v>0.32797692624639468</v>
      </c>
      <c r="I16">
        <v>0.47367060165175001</v>
      </c>
      <c r="J16">
        <v>337</v>
      </c>
      <c r="K16">
        <v>63</v>
      </c>
      <c r="L16">
        <v>0.38216560509554143</v>
      </c>
      <c r="M16" t="s">
        <v>16</v>
      </c>
    </row>
    <row r="17" spans="1:15" x14ac:dyDescent="0.35">
      <c r="A17" t="s">
        <v>19</v>
      </c>
      <c r="B17" t="s">
        <v>23</v>
      </c>
      <c r="C17">
        <v>1458</v>
      </c>
      <c r="D17">
        <v>559.82120228274403</v>
      </c>
      <c r="E17">
        <v>14.51440329218107</v>
      </c>
      <c r="F17">
        <v>0.73374838408397336</v>
      </c>
      <c r="G17">
        <v>0.700782913234413</v>
      </c>
      <c r="H17">
        <v>0.35158621769500431</v>
      </c>
      <c r="I17">
        <v>0.46824941296363209</v>
      </c>
      <c r="J17">
        <v>751</v>
      </c>
      <c r="K17">
        <v>191</v>
      </c>
      <c r="L17">
        <v>0.32198952879581161</v>
      </c>
      <c r="M17" t="s">
        <v>16</v>
      </c>
    </row>
    <row r="18" spans="1:15" x14ac:dyDescent="0.35">
      <c r="A18" t="s">
        <v>20</v>
      </c>
      <c r="B18" t="s">
        <v>23</v>
      </c>
      <c r="C18">
        <v>1169</v>
      </c>
      <c r="D18">
        <v>154.06208704614579</v>
      </c>
      <c r="E18">
        <v>11.38836612489307</v>
      </c>
      <c r="F18">
        <v>0.76150040420051668</v>
      </c>
      <c r="G18">
        <v>0.78389033922674511</v>
      </c>
      <c r="H18">
        <v>0.41344954542039231</v>
      </c>
      <c r="I18">
        <v>0.54136525237067268</v>
      </c>
      <c r="J18">
        <v>430</v>
      </c>
      <c r="K18">
        <v>103</v>
      </c>
      <c r="L18">
        <v>0.3411764705882353</v>
      </c>
      <c r="M18" t="s">
        <v>16</v>
      </c>
      <c r="N18" t="s">
        <v>36</v>
      </c>
      <c r="O18" t="s">
        <v>37</v>
      </c>
    </row>
    <row r="19" spans="1:15" s="2" customFormat="1" x14ac:dyDescent="0.35">
      <c r="A19" s="2" t="s">
        <v>21</v>
      </c>
      <c r="B19" s="2" t="s">
        <v>23</v>
      </c>
      <c r="C19" s="2">
        <v>3197</v>
      </c>
      <c r="D19" s="2">
        <v>371.26090365026818</v>
      </c>
      <c r="E19" s="2">
        <v>14.05849233656553</v>
      </c>
      <c r="F19" s="2">
        <v>0.76037191595851272</v>
      </c>
      <c r="G19" s="2">
        <v>0.65837375213313254</v>
      </c>
      <c r="H19" s="2">
        <v>0.28838664605505682</v>
      </c>
      <c r="I19" s="2">
        <v>0.40108605850372148</v>
      </c>
      <c r="J19" s="2">
        <v>915</v>
      </c>
      <c r="K19" s="2">
        <v>256</v>
      </c>
      <c r="L19" s="2">
        <v>0.30010384215991692</v>
      </c>
      <c r="M19" s="2" t="s">
        <v>16</v>
      </c>
      <c r="N19" s="1">
        <f>AVERAGE(I14:I18)</f>
        <v>0.55634219424626385</v>
      </c>
      <c r="O19" s="1">
        <f>(C14*I14+C15*I15+C16*I16+C17*I17+C18*I18)/C19</f>
        <v>0.51846337620624461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0"/>
  <sheetViews>
    <sheetView workbookViewId="0">
      <selection activeCell="I7" sqref="I7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5" x14ac:dyDescent="0.35">
      <c r="A2" t="s">
        <v>24</v>
      </c>
      <c r="B2" t="s">
        <v>15</v>
      </c>
      <c r="C2">
        <v>511</v>
      </c>
      <c r="D2">
        <v>720.04802624664785</v>
      </c>
      <c r="E2">
        <v>17.352250489236791</v>
      </c>
      <c r="F2">
        <v>0.58247960034317747</v>
      </c>
      <c r="G2">
        <v>0.91180653525256283</v>
      </c>
      <c r="H2">
        <v>0.31594492117341838</v>
      </c>
      <c r="I2">
        <v>0.46928169768886208</v>
      </c>
      <c r="J2">
        <v>632</v>
      </c>
      <c r="K2">
        <v>32</v>
      </c>
      <c r="L2">
        <v>0.45420560747663552</v>
      </c>
      <c r="M2" t="s">
        <v>16</v>
      </c>
    </row>
    <row r="3" spans="1:15" x14ac:dyDescent="0.35">
      <c r="A3" t="s">
        <v>25</v>
      </c>
      <c r="B3" t="s">
        <v>15</v>
      </c>
      <c r="C3">
        <v>2686</v>
      </c>
      <c r="D3">
        <v>304.90564689421831</v>
      </c>
      <c r="E3">
        <v>13.43186895011169</v>
      </c>
      <c r="F3">
        <v>0.55064128411653468</v>
      </c>
      <c r="G3">
        <v>0.92499681795971977</v>
      </c>
      <c r="H3">
        <v>0.40068731034987032</v>
      </c>
      <c r="I3">
        <v>0.55915957527993221</v>
      </c>
      <c r="J3">
        <v>941</v>
      </c>
      <c r="K3">
        <v>52</v>
      </c>
      <c r="L3">
        <v>0.43170731707317073</v>
      </c>
      <c r="M3" t="s">
        <v>16</v>
      </c>
      <c r="N3" t="s">
        <v>36</v>
      </c>
      <c r="O3" s="3" t="s">
        <v>37</v>
      </c>
    </row>
    <row r="4" spans="1:15" s="2" customFormat="1" x14ac:dyDescent="0.35">
      <c r="A4" s="2" t="s">
        <v>21</v>
      </c>
      <c r="B4" s="2" t="s">
        <v>15</v>
      </c>
      <c r="C4" s="2">
        <v>3197</v>
      </c>
      <c r="D4" s="2">
        <v>371.26090365026818</v>
      </c>
      <c r="E4" s="2">
        <v>14.05849233656553</v>
      </c>
      <c r="F4" s="2">
        <v>0.58354094016894753</v>
      </c>
      <c r="G4" s="2">
        <v>0.91769525769943627</v>
      </c>
      <c r="H4" s="2">
        <v>0.35687198934098602</v>
      </c>
      <c r="I4" s="2">
        <v>0.51389949488259545</v>
      </c>
      <c r="J4" s="2">
        <v>978</v>
      </c>
      <c r="K4" s="2">
        <v>54</v>
      </c>
      <c r="L4" s="2">
        <v>0.42923976608187131</v>
      </c>
      <c r="M4" s="2" t="s">
        <v>16</v>
      </c>
      <c r="N4" s="1">
        <f>AVERAGE(I2:I3)</f>
        <v>0.51422063648439709</v>
      </c>
      <c r="O4" s="1">
        <f>(C2*I2+C3*I3)/C4</f>
        <v>0.5447937337256511</v>
      </c>
    </row>
    <row r="5" spans="1:15" x14ac:dyDescent="0.35">
      <c r="A5" t="s">
        <v>24</v>
      </c>
      <c r="B5" t="s">
        <v>22</v>
      </c>
      <c r="C5">
        <v>511</v>
      </c>
      <c r="D5">
        <v>720.04802624664785</v>
      </c>
      <c r="E5">
        <v>17.352250489236791</v>
      </c>
      <c r="F5">
        <v>0.76937706325032584</v>
      </c>
      <c r="G5">
        <v>0.99016001909496132</v>
      </c>
      <c r="H5">
        <v>9.4018369062004337E-2</v>
      </c>
      <c r="I5">
        <v>0.17173046635612041</v>
      </c>
      <c r="J5">
        <v>401</v>
      </c>
      <c r="K5">
        <v>9</v>
      </c>
      <c r="L5">
        <v>0.61130742049469966</v>
      </c>
      <c r="M5" t="s">
        <v>16</v>
      </c>
    </row>
    <row r="6" spans="1:15" x14ac:dyDescent="0.35">
      <c r="A6" t="s">
        <v>25</v>
      </c>
      <c r="B6" t="s">
        <v>22</v>
      </c>
      <c r="C6">
        <v>2686</v>
      </c>
      <c r="D6">
        <v>304.90564689421831</v>
      </c>
      <c r="E6">
        <v>13.43186895011169</v>
      </c>
      <c r="F6">
        <v>0.77351032363738093</v>
      </c>
      <c r="G6">
        <v>0.97501385229601312</v>
      </c>
      <c r="H6">
        <v>0.16330793515155831</v>
      </c>
      <c r="I6">
        <v>0.2797583261929123</v>
      </c>
      <c r="J6">
        <v>572</v>
      </c>
      <c r="K6">
        <v>12</v>
      </c>
      <c r="L6">
        <v>0.63451776649746194</v>
      </c>
      <c r="M6" t="s">
        <v>16</v>
      </c>
      <c r="N6" t="s">
        <v>36</v>
      </c>
      <c r="O6" s="3" t="s">
        <v>37</v>
      </c>
    </row>
    <row r="7" spans="1:15" s="2" customFormat="1" x14ac:dyDescent="0.35">
      <c r="A7" s="2" t="s">
        <v>21</v>
      </c>
      <c r="B7" s="2" t="s">
        <v>22</v>
      </c>
      <c r="C7" s="2">
        <v>3197</v>
      </c>
      <c r="D7" s="2">
        <v>371.26090365026818</v>
      </c>
      <c r="E7" s="2">
        <v>14.05849233656553</v>
      </c>
      <c r="F7" s="2">
        <v>0.81011647527417585</v>
      </c>
      <c r="G7" s="2">
        <v>0.98932479048380761</v>
      </c>
      <c r="H7" s="2">
        <v>0.16074958020031971</v>
      </c>
      <c r="I7" s="1">
        <v>0.27656219250836689</v>
      </c>
      <c r="J7" s="2">
        <v>578</v>
      </c>
      <c r="K7" s="2">
        <v>15</v>
      </c>
      <c r="L7" s="2">
        <v>0.62999999999999989</v>
      </c>
      <c r="M7" s="2" t="s">
        <v>16</v>
      </c>
      <c r="N7" s="2">
        <f>AVERAGE(I5:I6)</f>
        <v>0.22574439627451637</v>
      </c>
      <c r="O7" s="2">
        <f>(C5*I5+C6*I6)/C7</f>
        <v>0.26249143961906163</v>
      </c>
    </row>
    <row r="8" spans="1:15" x14ac:dyDescent="0.35">
      <c r="A8" t="s">
        <v>24</v>
      </c>
      <c r="B8" t="s">
        <v>23</v>
      </c>
      <c r="C8">
        <v>511</v>
      </c>
      <c r="D8">
        <v>720.04802624664785</v>
      </c>
      <c r="E8">
        <v>17.352250489236791</v>
      </c>
      <c r="F8">
        <v>0.69606485679025165</v>
      </c>
      <c r="G8">
        <v>0.78928580479052823</v>
      </c>
      <c r="H8">
        <v>0.37907115016185511</v>
      </c>
      <c r="I8">
        <v>0.51216450000173919</v>
      </c>
      <c r="J8">
        <v>583</v>
      </c>
      <c r="K8">
        <v>161</v>
      </c>
      <c r="L8">
        <v>0.30592105263157898</v>
      </c>
      <c r="M8" t="s">
        <v>16</v>
      </c>
    </row>
    <row r="9" spans="1:15" x14ac:dyDescent="0.35">
      <c r="A9" t="s">
        <v>25</v>
      </c>
      <c r="B9" t="s">
        <v>23</v>
      </c>
      <c r="C9">
        <v>2686</v>
      </c>
      <c r="D9">
        <v>304.90564689421831</v>
      </c>
      <c r="E9">
        <v>13.43186895011169</v>
      </c>
      <c r="F9">
        <v>0.76559992276564892</v>
      </c>
      <c r="G9">
        <v>0.7826631742315735</v>
      </c>
      <c r="H9">
        <v>0.33295556542789018</v>
      </c>
      <c r="I9">
        <v>0.46717045967765852</v>
      </c>
      <c r="J9">
        <v>762</v>
      </c>
      <c r="K9">
        <v>126</v>
      </c>
      <c r="L9">
        <v>0.38418079096045199</v>
      </c>
      <c r="M9" t="s">
        <v>16</v>
      </c>
      <c r="N9" t="s">
        <v>36</v>
      </c>
      <c r="O9" s="3" t="s">
        <v>37</v>
      </c>
    </row>
    <row r="10" spans="1:15" s="2" customFormat="1" x14ac:dyDescent="0.35">
      <c r="A10" s="2" t="s">
        <v>21</v>
      </c>
      <c r="B10" s="2" t="s">
        <v>23</v>
      </c>
      <c r="C10" s="2">
        <v>3197</v>
      </c>
      <c r="D10" s="2">
        <v>371.26090365026818</v>
      </c>
      <c r="E10" s="2">
        <v>14.05849233656553</v>
      </c>
      <c r="F10" s="2">
        <v>0.76037191595851272</v>
      </c>
      <c r="G10" s="2">
        <v>0.65837375213313254</v>
      </c>
      <c r="H10" s="2">
        <v>0.28838664605505682</v>
      </c>
      <c r="I10" s="2">
        <v>0.40108605850372148</v>
      </c>
      <c r="J10" s="2">
        <v>915</v>
      </c>
      <c r="K10" s="2">
        <v>256</v>
      </c>
      <c r="L10" s="2">
        <v>0.30010384215991692</v>
      </c>
      <c r="M10" s="2" t="s">
        <v>16</v>
      </c>
      <c r="N10" s="1">
        <f>AVERAGE(I8:I9)</f>
        <v>0.48966747983969883</v>
      </c>
      <c r="O10" s="1">
        <f>(C8*I8+C9*I9)/C10</f>
        <v>0.4743621877369657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34"/>
  <sheetViews>
    <sheetView topLeftCell="A7" workbookViewId="0">
      <selection activeCell="P30" sqref="P30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6" x14ac:dyDescent="0.35">
      <c r="A2" t="s">
        <v>26</v>
      </c>
      <c r="B2" t="s">
        <v>15</v>
      </c>
      <c r="C2">
        <v>66</v>
      </c>
      <c r="D2">
        <v>697.12856481481492</v>
      </c>
      <c r="E2">
        <v>32.833333333333343</v>
      </c>
      <c r="F2">
        <v>0.52435814430687111</v>
      </c>
      <c r="G2">
        <v>0.93918927163792998</v>
      </c>
      <c r="H2">
        <v>0.22436563288321709</v>
      </c>
      <c r="I2">
        <v>0.36220344138361549</v>
      </c>
      <c r="J2">
        <v>406</v>
      </c>
      <c r="K2">
        <v>21</v>
      </c>
      <c r="L2">
        <v>0.4893617021276595</v>
      </c>
      <c r="M2" t="s">
        <v>16</v>
      </c>
    </row>
    <row r="3" spans="1:16" x14ac:dyDescent="0.35">
      <c r="A3" t="s">
        <v>27</v>
      </c>
      <c r="B3" t="s">
        <v>15</v>
      </c>
      <c r="C3">
        <v>27</v>
      </c>
      <c r="D3">
        <v>465.37169667352532</v>
      </c>
      <c r="E3">
        <v>10.925925925925929</v>
      </c>
      <c r="F3">
        <v>0.38922242614590591</v>
      </c>
      <c r="G3">
        <v>0.84858264234687297</v>
      </c>
      <c r="H3">
        <v>0.46466431095406358</v>
      </c>
      <c r="I3">
        <v>0.60050559082215704</v>
      </c>
      <c r="J3">
        <v>219</v>
      </c>
      <c r="K3">
        <v>12</v>
      </c>
      <c r="L3">
        <v>0.52046783625730997</v>
      </c>
      <c r="M3" t="s">
        <v>16</v>
      </c>
    </row>
    <row r="4" spans="1:16" x14ac:dyDescent="0.35">
      <c r="A4" t="s">
        <v>28</v>
      </c>
      <c r="B4" t="s">
        <v>15</v>
      </c>
      <c r="C4">
        <v>12</v>
      </c>
      <c r="D4">
        <v>1365.0311458333331</v>
      </c>
      <c r="E4">
        <v>28.5</v>
      </c>
      <c r="F4">
        <v>0.40711006849490777</v>
      </c>
      <c r="G4">
        <v>0.91844416715599919</v>
      </c>
      <c r="H4">
        <v>0.2645631067961165</v>
      </c>
      <c r="I4">
        <v>0.41079450250514388</v>
      </c>
      <c r="J4">
        <v>277</v>
      </c>
      <c r="K4">
        <v>11</v>
      </c>
      <c r="L4">
        <v>0.4910714285714286</v>
      </c>
      <c r="M4" t="s">
        <v>16</v>
      </c>
    </row>
    <row r="5" spans="1:16" x14ac:dyDescent="0.35">
      <c r="A5" t="s">
        <v>29</v>
      </c>
      <c r="B5" t="s">
        <v>15</v>
      </c>
      <c r="C5">
        <v>235</v>
      </c>
      <c r="D5">
        <v>910.80078743104798</v>
      </c>
      <c r="E5">
        <v>16.910638297872339</v>
      </c>
      <c r="F5">
        <v>0.49933231099605818</v>
      </c>
      <c r="G5">
        <v>0.91347414298833884</v>
      </c>
      <c r="H5">
        <v>0.2353991328742667</v>
      </c>
      <c r="I5">
        <v>0.37433375060633678</v>
      </c>
      <c r="J5">
        <v>572</v>
      </c>
      <c r="K5">
        <v>25</v>
      </c>
      <c r="L5">
        <v>0.45454545454545447</v>
      </c>
      <c r="M5" t="s">
        <v>16</v>
      </c>
    </row>
    <row r="6" spans="1:16" x14ac:dyDescent="0.35">
      <c r="A6" t="s">
        <v>30</v>
      </c>
      <c r="B6" t="s">
        <v>15</v>
      </c>
      <c r="C6">
        <v>171</v>
      </c>
      <c r="D6">
        <v>461.69860542560099</v>
      </c>
      <c r="E6">
        <v>12.216374269005851</v>
      </c>
      <c r="F6">
        <v>0.55348753800827155</v>
      </c>
      <c r="G6">
        <v>0.87199853087769585</v>
      </c>
      <c r="H6">
        <v>0.61551798872995234</v>
      </c>
      <c r="I6">
        <v>0.72164681847416701</v>
      </c>
      <c r="J6">
        <v>352</v>
      </c>
      <c r="K6">
        <v>21</v>
      </c>
      <c r="L6">
        <v>0.49295774647887319</v>
      </c>
      <c r="M6" t="s">
        <v>16</v>
      </c>
    </row>
    <row r="7" spans="1:16" x14ac:dyDescent="0.35">
      <c r="A7" t="s">
        <v>31</v>
      </c>
      <c r="B7" t="s">
        <v>15</v>
      </c>
      <c r="C7">
        <v>243</v>
      </c>
      <c r="D7">
        <v>233.70654149519891</v>
      </c>
      <c r="E7">
        <v>16.621399176954728</v>
      </c>
      <c r="F7">
        <v>0.53204269532594362</v>
      </c>
      <c r="G7">
        <v>0.89800847321629163</v>
      </c>
      <c r="H7">
        <v>0.42167519181585678</v>
      </c>
      <c r="I7">
        <v>0.57387676339317251</v>
      </c>
      <c r="J7">
        <v>488</v>
      </c>
      <c r="K7">
        <v>29</v>
      </c>
      <c r="L7">
        <v>0.44497607655502402</v>
      </c>
      <c r="M7" t="s">
        <v>16</v>
      </c>
    </row>
    <row r="8" spans="1:16" x14ac:dyDescent="0.35">
      <c r="A8" t="s">
        <v>32</v>
      </c>
      <c r="B8" t="s">
        <v>15</v>
      </c>
      <c r="C8">
        <v>175</v>
      </c>
      <c r="D8">
        <v>188.05920026455021</v>
      </c>
      <c r="E8">
        <v>16.914285714285711</v>
      </c>
      <c r="F8">
        <v>0.56046657829163471</v>
      </c>
      <c r="G8">
        <v>0.90723887319292007</v>
      </c>
      <c r="H8">
        <v>0.47505868544600938</v>
      </c>
      <c r="I8">
        <v>0.62358745234118862</v>
      </c>
      <c r="J8">
        <v>429</v>
      </c>
      <c r="K8">
        <v>25</v>
      </c>
      <c r="L8">
        <v>0.48148148148148151</v>
      </c>
      <c r="M8" t="s">
        <v>16</v>
      </c>
    </row>
    <row r="9" spans="1:16" x14ac:dyDescent="0.35">
      <c r="A9" t="s">
        <v>33</v>
      </c>
      <c r="B9" t="s">
        <v>15</v>
      </c>
      <c r="C9">
        <v>47</v>
      </c>
      <c r="D9">
        <v>552.04833653467301</v>
      </c>
      <c r="E9">
        <v>14.19148936170213</v>
      </c>
      <c r="F9">
        <v>0.44703431656234599</v>
      </c>
      <c r="G9">
        <v>0.86154238136402927</v>
      </c>
      <c r="H9">
        <v>0.49391304347826082</v>
      </c>
      <c r="I9">
        <v>0.62787312937941442</v>
      </c>
      <c r="J9">
        <v>433</v>
      </c>
      <c r="K9">
        <v>25</v>
      </c>
      <c r="L9">
        <v>0.44474393530997303</v>
      </c>
      <c r="M9" t="s">
        <v>16</v>
      </c>
    </row>
    <row r="10" spans="1:16" x14ac:dyDescent="0.35">
      <c r="A10" t="s">
        <v>34</v>
      </c>
      <c r="B10" t="s">
        <v>15</v>
      </c>
      <c r="C10">
        <v>1223</v>
      </c>
      <c r="D10">
        <v>492.38031715612789</v>
      </c>
      <c r="E10">
        <v>14.0539656582175</v>
      </c>
      <c r="F10">
        <v>0.56232279195368573</v>
      </c>
      <c r="G10">
        <v>0.90398260463953894</v>
      </c>
      <c r="H10">
        <v>0.34393287146028118</v>
      </c>
      <c r="I10">
        <v>0.49828588380925132</v>
      </c>
      <c r="J10">
        <v>891</v>
      </c>
      <c r="K10">
        <v>44</v>
      </c>
      <c r="L10">
        <v>0.42820512820512818</v>
      </c>
      <c r="M10" t="s">
        <v>16</v>
      </c>
    </row>
    <row r="11" spans="1:16" x14ac:dyDescent="0.35">
      <c r="A11" t="s">
        <v>35</v>
      </c>
      <c r="B11" t="s">
        <v>15</v>
      </c>
      <c r="C11">
        <v>998</v>
      </c>
      <c r="D11">
        <v>101.35081986890449</v>
      </c>
      <c r="E11">
        <v>11.24649298597194</v>
      </c>
      <c r="F11">
        <v>0.56093775643081267</v>
      </c>
      <c r="G11">
        <v>0.95578403010864876</v>
      </c>
      <c r="H11">
        <v>0.6495650815146623</v>
      </c>
      <c r="I11">
        <v>0.7734690565843918</v>
      </c>
      <c r="J11">
        <v>421</v>
      </c>
      <c r="K11">
        <v>16</v>
      </c>
      <c r="L11">
        <v>0.48973607038123168</v>
      </c>
      <c r="M11" t="s">
        <v>16</v>
      </c>
      <c r="N11" t="s">
        <v>36</v>
      </c>
      <c r="O11" t="s">
        <v>38</v>
      </c>
      <c r="P11" s="3" t="s">
        <v>37</v>
      </c>
    </row>
    <row r="12" spans="1:16" s="2" customFormat="1" x14ac:dyDescent="0.35">
      <c r="A12" s="2" t="s">
        <v>21</v>
      </c>
      <c r="B12" s="2" t="s">
        <v>15</v>
      </c>
      <c r="C12" s="2">
        <v>3197</v>
      </c>
      <c r="D12" s="2">
        <v>371.26090365026818</v>
      </c>
      <c r="E12" s="2">
        <v>14.05849233656553</v>
      </c>
      <c r="F12" s="2">
        <v>0.58354094016894753</v>
      </c>
      <c r="G12" s="2">
        <v>0.91769525769943627</v>
      </c>
      <c r="H12" s="2">
        <v>0.35687198934098602</v>
      </c>
      <c r="I12" s="2">
        <v>0.51389949488259545</v>
      </c>
      <c r="J12" s="2">
        <v>978</v>
      </c>
      <c r="K12" s="2">
        <v>54</v>
      </c>
      <c r="L12" s="2">
        <v>0.42923976608187131</v>
      </c>
      <c r="M12" s="2" t="s">
        <v>16</v>
      </c>
      <c r="N12" s="1">
        <f>AVERAGE(I2:I11)</f>
        <v>0.55665763892988385</v>
      </c>
      <c r="O12" s="2">
        <f>AVERAGE(I2:I6)</f>
        <v>0.49389682075828401</v>
      </c>
      <c r="P12" s="1">
        <f>(C2*I2+C3*I3+C4*I4+C5*I5+C6*I6+C7*I7+C8*I8+C9*I9+C10*I10+C11*I11)/C12</f>
        <v>0.59926002457934591</v>
      </c>
    </row>
    <row r="13" spans="1:16" x14ac:dyDescent="0.35">
      <c r="A13" t="s">
        <v>26</v>
      </c>
      <c r="B13" t="s">
        <v>22</v>
      </c>
      <c r="C13">
        <v>66</v>
      </c>
      <c r="D13">
        <v>697.12856481481492</v>
      </c>
      <c r="E13">
        <v>32.833333333333343</v>
      </c>
      <c r="F13">
        <v>0.79250634427806099</v>
      </c>
      <c r="G13">
        <v>0.98313215654679065</v>
      </c>
      <c r="H13">
        <v>0.21329961007482351</v>
      </c>
      <c r="I13">
        <v>0.35054519863776129</v>
      </c>
      <c r="J13">
        <v>211</v>
      </c>
      <c r="K13">
        <v>4</v>
      </c>
      <c r="L13">
        <v>0.65034965034965031</v>
      </c>
      <c r="M13" t="s">
        <v>16</v>
      </c>
    </row>
    <row r="14" spans="1:16" x14ac:dyDescent="0.35">
      <c r="A14" t="s">
        <v>27</v>
      </c>
      <c r="B14" t="s">
        <v>22</v>
      </c>
      <c r="C14">
        <v>27</v>
      </c>
      <c r="D14">
        <v>465.37169667352532</v>
      </c>
      <c r="E14">
        <v>10.925925925925929</v>
      </c>
      <c r="F14">
        <v>0.64099072332747054</v>
      </c>
      <c r="G14">
        <v>0.95844940951235336</v>
      </c>
      <c r="H14">
        <v>0.32936802973977702</v>
      </c>
      <c r="I14">
        <v>0.49025985204806938</v>
      </c>
      <c r="J14">
        <v>212</v>
      </c>
      <c r="K14">
        <v>6</v>
      </c>
      <c r="L14">
        <v>0.66197183098591561</v>
      </c>
      <c r="M14" t="s">
        <v>16</v>
      </c>
    </row>
    <row r="15" spans="1:16" x14ac:dyDescent="0.35">
      <c r="A15" t="s">
        <v>28</v>
      </c>
      <c r="B15" t="s">
        <v>22</v>
      </c>
      <c r="C15">
        <v>12</v>
      </c>
      <c r="D15">
        <v>1365.0311458333331</v>
      </c>
      <c r="E15">
        <v>28.5</v>
      </c>
      <c r="F15">
        <v>0.61570222510592121</v>
      </c>
      <c r="G15">
        <v>0.92066625273796587</v>
      </c>
      <c r="H15">
        <v>0.40336134453781508</v>
      </c>
      <c r="I15">
        <v>0.56095685367746495</v>
      </c>
      <c r="J15">
        <v>181</v>
      </c>
      <c r="K15">
        <v>3</v>
      </c>
      <c r="L15">
        <v>0.68067226890756305</v>
      </c>
      <c r="M15" t="s">
        <v>16</v>
      </c>
    </row>
    <row r="16" spans="1:16" x14ac:dyDescent="0.35">
      <c r="A16" t="s">
        <v>29</v>
      </c>
      <c r="B16" t="s">
        <v>22</v>
      </c>
      <c r="C16">
        <v>235</v>
      </c>
      <c r="D16">
        <v>910.80078743104798</v>
      </c>
      <c r="E16">
        <v>16.910638297872339</v>
      </c>
      <c r="F16">
        <v>0.66939748691605538</v>
      </c>
      <c r="G16">
        <v>0.98485010110587923</v>
      </c>
      <c r="H16">
        <v>0.28488832937007502</v>
      </c>
      <c r="I16">
        <v>0.44193716319798632</v>
      </c>
      <c r="J16">
        <v>202</v>
      </c>
      <c r="K16">
        <v>1</v>
      </c>
      <c r="L16">
        <v>0.62857142857142856</v>
      </c>
      <c r="M16" t="s">
        <v>16</v>
      </c>
    </row>
    <row r="17" spans="1:16" x14ac:dyDescent="0.35">
      <c r="A17" t="s">
        <v>30</v>
      </c>
      <c r="B17" t="s">
        <v>22</v>
      </c>
      <c r="C17">
        <v>171</v>
      </c>
      <c r="D17">
        <v>461.69860542560099</v>
      </c>
      <c r="E17">
        <v>12.216374269005851</v>
      </c>
      <c r="F17">
        <v>0.78421437254414439</v>
      </c>
      <c r="G17">
        <v>0.99865486091629108</v>
      </c>
      <c r="H17">
        <v>0.1056653841050816</v>
      </c>
      <c r="I17">
        <v>0.19110987042546609</v>
      </c>
      <c r="J17">
        <v>224</v>
      </c>
      <c r="K17">
        <v>3</v>
      </c>
      <c r="L17">
        <v>0.63636363636363624</v>
      </c>
      <c r="M17" t="s">
        <v>16</v>
      </c>
    </row>
    <row r="18" spans="1:16" x14ac:dyDescent="0.35">
      <c r="A18" t="s">
        <v>31</v>
      </c>
      <c r="B18" t="s">
        <v>22</v>
      </c>
      <c r="C18">
        <v>243</v>
      </c>
      <c r="D18">
        <v>233.70654149519891</v>
      </c>
      <c r="E18">
        <v>16.621399176954728</v>
      </c>
      <c r="F18">
        <v>0.82536966749897878</v>
      </c>
      <c r="G18">
        <v>0.98203644136372037</v>
      </c>
      <c r="H18">
        <v>0.13843951018314701</v>
      </c>
      <c r="I18">
        <v>0.2426694544165906</v>
      </c>
      <c r="J18">
        <v>294</v>
      </c>
      <c r="K18">
        <v>9</v>
      </c>
      <c r="L18">
        <v>0.62745098039215685</v>
      </c>
      <c r="M18" t="s">
        <v>16</v>
      </c>
    </row>
    <row r="19" spans="1:16" x14ac:dyDescent="0.35">
      <c r="A19" t="s">
        <v>32</v>
      </c>
      <c r="B19" t="s">
        <v>22</v>
      </c>
      <c r="C19">
        <v>175</v>
      </c>
      <c r="D19">
        <v>188.05920026455021</v>
      </c>
      <c r="E19">
        <v>16.914285714285711</v>
      </c>
      <c r="F19">
        <v>0.82022957690928899</v>
      </c>
      <c r="G19">
        <v>0.97328057749807118</v>
      </c>
      <c r="H19">
        <v>0.41235550502179258</v>
      </c>
      <c r="I19">
        <v>0.57928284219080406</v>
      </c>
      <c r="J19">
        <v>204</v>
      </c>
      <c r="K19">
        <v>4</v>
      </c>
      <c r="L19">
        <v>0.65217391304347827</v>
      </c>
      <c r="M19" t="s">
        <v>16</v>
      </c>
    </row>
    <row r="20" spans="1:16" x14ac:dyDescent="0.35">
      <c r="A20" t="s">
        <v>33</v>
      </c>
      <c r="B20" t="s">
        <v>22</v>
      </c>
      <c r="C20">
        <v>47</v>
      </c>
      <c r="D20">
        <v>552.04833653467301</v>
      </c>
      <c r="E20">
        <v>14.19148936170213</v>
      </c>
      <c r="F20">
        <v>0.79811416434442306</v>
      </c>
      <c r="G20">
        <v>0.97717796406094493</v>
      </c>
      <c r="H20">
        <v>0.21484841250895201</v>
      </c>
      <c r="I20">
        <v>0.35224914220665032</v>
      </c>
      <c r="J20">
        <v>202</v>
      </c>
      <c r="K20">
        <v>6</v>
      </c>
      <c r="L20">
        <v>0.62857142857142856</v>
      </c>
      <c r="M20" t="s">
        <v>16</v>
      </c>
    </row>
    <row r="21" spans="1:16" x14ac:dyDescent="0.35">
      <c r="A21" t="s">
        <v>34</v>
      </c>
      <c r="B21" t="s">
        <v>22</v>
      </c>
      <c r="C21">
        <v>1223</v>
      </c>
      <c r="D21">
        <v>492.38031715612789</v>
      </c>
      <c r="E21">
        <v>14.0539656582175</v>
      </c>
      <c r="F21">
        <v>0.74417806031884681</v>
      </c>
      <c r="G21">
        <v>0.99723868565103835</v>
      </c>
      <c r="H21">
        <v>0.11736280211708359</v>
      </c>
      <c r="I21">
        <v>0.21000999516324301</v>
      </c>
      <c r="J21">
        <v>538</v>
      </c>
      <c r="K21">
        <v>10</v>
      </c>
      <c r="L21">
        <v>0.62566844919786091</v>
      </c>
      <c r="M21" t="s">
        <v>16</v>
      </c>
    </row>
    <row r="22" spans="1:16" x14ac:dyDescent="0.35">
      <c r="A22" t="s">
        <v>35</v>
      </c>
      <c r="B22" t="s">
        <v>22</v>
      </c>
      <c r="C22">
        <v>998</v>
      </c>
      <c r="D22">
        <v>101.35081986890449</v>
      </c>
      <c r="E22">
        <v>11.24649298597194</v>
      </c>
      <c r="F22">
        <v>0.82547046251172063</v>
      </c>
      <c r="G22">
        <v>0.99676411237239138</v>
      </c>
      <c r="H22">
        <v>0.17352681792672181</v>
      </c>
      <c r="I22">
        <v>0.29559368557923688</v>
      </c>
      <c r="J22">
        <v>255</v>
      </c>
      <c r="K22">
        <v>5</v>
      </c>
      <c r="L22">
        <v>0.6271186440677966</v>
      </c>
      <c r="M22" t="s">
        <v>16</v>
      </c>
      <c r="N22" t="s">
        <v>36</v>
      </c>
      <c r="O22" t="s">
        <v>38</v>
      </c>
      <c r="P22" s="3" t="s">
        <v>37</v>
      </c>
    </row>
    <row r="23" spans="1:16" s="2" customFormat="1" x14ac:dyDescent="0.35">
      <c r="A23" s="2" t="s">
        <v>21</v>
      </c>
      <c r="B23" s="2" t="s">
        <v>22</v>
      </c>
      <c r="C23" s="2">
        <v>3197</v>
      </c>
      <c r="D23" s="2">
        <v>371.26090365026818</v>
      </c>
      <c r="E23" s="2">
        <v>14.05849233656553</v>
      </c>
      <c r="F23" s="2">
        <v>0.81011647527417585</v>
      </c>
      <c r="G23" s="2">
        <v>0.98932479048380761</v>
      </c>
      <c r="H23" s="2">
        <v>0.16074958020031971</v>
      </c>
      <c r="I23" s="2">
        <v>0.27656219250836689</v>
      </c>
      <c r="J23" s="2">
        <v>578</v>
      </c>
      <c r="K23" s="2">
        <v>15</v>
      </c>
      <c r="L23" s="2">
        <v>0.62999999999999989</v>
      </c>
      <c r="M23" s="2" t="s">
        <v>16</v>
      </c>
      <c r="N23" s="1">
        <f>AVERAGE(I13:I22)</f>
        <v>0.37146140575432729</v>
      </c>
      <c r="O23" s="1">
        <f>AVERAGE(I13:I17)</f>
        <v>0.40696178759734958</v>
      </c>
      <c r="P23" s="1">
        <f>(C13*I13+C14*I14+C15*I15+C16*I16+C17*I17+C18*I18+C19*I19+C20*I20+C21*I21+C22*I22)/C23</f>
        <v>0.28413609926082595</v>
      </c>
    </row>
    <row r="24" spans="1:16" x14ac:dyDescent="0.35">
      <c r="A24" t="s">
        <v>26</v>
      </c>
      <c r="B24" t="s">
        <v>23</v>
      </c>
      <c r="C24">
        <v>66</v>
      </c>
      <c r="D24">
        <v>697.12856481481492</v>
      </c>
      <c r="E24">
        <v>32.833333333333343</v>
      </c>
      <c r="F24">
        <v>0.66852346582745215</v>
      </c>
      <c r="G24">
        <v>0.93239951381807029</v>
      </c>
      <c r="H24">
        <v>0.22796191819464029</v>
      </c>
      <c r="I24">
        <v>0.36635409593894369</v>
      </c>
      <c r="J24">
        <v>222</v>
      </c>
      <c r="K24">
        <v>13</v>
      </c>
      <c r="L24">
        <v>0.5636363636363636</v>
      </c>
      <c r="M24" t="s">
        <v>16</v>
      </c>
    </row>
    <row r="25" spans="1:16" x14ac:dyDescent="0.35">
      <c r="A25" t="s">
        <v>27</v>
      </c>
      <c r="B25" t="s">
        <v>23</v>
      </c>
      <c r="C25">
        <v>27</v>
      </c>
      <c r="D25">
        <v>465.37169667352532</v>
      </c>
      <c r="E25">
        <v>10.925925925925929</v>
      </c>
      <c r="F25">
        <v>0.60470009844144035</v>
      </c>
      <c r="G25">
        <v>0.90754716981132078</v>
      </c>
      <c r="H25">
        <v>0.72613065326633164</v>
      </c>
      <c r="I25">
        <v>0.80676594855604056</v>
      </c>
      <c r="J25">
        <v>137</v>
      </c>
      <c r="K25">
        <v>0</v>
      </c>
      <c r="L25">
        <v>0.67032967032967028</v>
      </c>
      <c r="M25" t="s">
        <v>16</v>
      </c>
    </row>
    <row r="26" spans="1:16" x14ac:dyDescent="0.35">
      <c r="A26" t="s">
        <v>28</v>
      </c>
      <c r="B26" t="s">
        <v>23</v>
      </c>
      <c r="C26">
        <v>12</v>
      </c>
      <c r="D26">
        <v>1365.0311458333331</v>
      </c>
      <c r="E26">
        <v>28.5</v>
      </c>
      <c r="F26">
        <v>0.58293714078718595</v>
      </c>
      <c r="G26">
        <v>0.90505183085987029</v>
      </c>
      <c r="H26">
        <v>0.57446808510638303</v>
      </c>
      <c r="I26">
        <v>0.70282716249418131</v>
      </c>
      <c r="J26">
        <v>149</v>
      </c>
      <c r="K26">
        <v>1</v>
      </c>
      <c r="L26">
        <v>0.66</v>
      </c>
      <c r="M26" t="s">
        <v>16</v>
      </c>
    </row>
    <row r="27" spans="1:16" x14ac:dyDescent="0.35">
      <c r="A27" t="s">
        <v>29</v>
      </c>
      <c r="B27" t="s">
        <v>23</v>
      </c>
      <c r="C27">
        <v>235</v>
      </c>
      <c r="D27">
        <v>910.80078743104798</v>
      </c>
      <c r="E27">
        <v>16.910638297872339</v>
      </c>
      <c r="F27">
        <v>0.66520366036730971</v>
      </c>
      <c r="G27">
        <v>0.8056914247712853</v>
      </c>
      <c r="H27">
        <v>0.29429777757156772</v>
      </c>
      <c r="I27">
        <v>0.43111913319446199</v>
      </c>
      <c r="J27">
        <v>414</v>
      </c>
      <c r="K27">
        <v>82</v>
      </c>
      <c r="L27">
        <v>0.36895674300254461</v>
      </c>
      <c r="M27" t="s">
        <v>16</v>
      </c>
    </row>
    <row r="28" spans="1:16" x14ac:dyDescent="0.35">
      <c r="A28" t="s">
        <v>30</v>
      </c>
      <c r="B28" t="s">
        <v>23</v>
      </c>
      <c r="C28">
        <v>171</v>
      </c>
      <c r="D28">
        <v>461.69860542560099</v>
      </c>
      <c r="E28">
        <v>12.216374269005851</v>
      </c>
      <c r="F28">
        <v>0.74991013888023861</v>
      </c>
      <c r="G28">
        <v>0.9496141625056741</v>
      </c>
      <c r="H28">
        <v>0.69450101832993894</v>
      </c>
      <c r="I28">
        <v>0.80226496363293875</v>
      </c>
      <c r="J28">
        <v>201</v>
      </c>
      <c r="K28">
        <v>0</v>
      </c>
      <c r="L28">
        <v>0.61702127659574468</v>
      </c>
      <c r="M28" t="s">
        <v>16</v>
      </c>
    </row>
    <row r="29" spans="1:16" x14ac:dyDescent="0.35">
      <c r="A29" t="s">
        <v>31</v>
      </c>
      <c r="B29" t="s">
        <v>23</v>
      </c>
      <c r="C29">
        <v>243</v>
      </c>
      <c r="D29">
        <v>233.70654149519891</v>
      </c>
      <c r="E29">
        <v>16.621399176954728</v>
      </c>
      <c r="F29">
        <v>0.71752585372233657</v>
      </c>
      <c r="G29">
        <v>0.87798936867728961</v>
      </c>
      <c r="H29">
        <v>0.44527854602923739</v>
      </c>
      <c r="I29">
        <v>0.59088537577132461</v>
      </c>
      <c r="J29">
        <v>275</v>
      </c>
      <c r="K29">
        <v>28</v>
      </c>
      <c r="L29">
        <v>0.47787610619469029</v>
      </c>
      <c r="M29" t="s">
        <v>16</v>
      </c>
    </row>
    <row r="30" spans="1:16" x14ac:dyDescent="0.35">
      <c r="A30" t="s">
        <v>32</v>
      </c>
      <c r="B30" t="s">
        <v>23</v>
      </c>
      <c r="C30">
        <v>175</v>
      </c>
      <c r="D30">
        <v>188.05920026455021</v>
      </c>
      <c r="E30">
        <v>16.914285714285711</v>
      </c>
      <c r="F30">
        <v>0.78864708389883598</v>
      </c>
      <c r="G30">
        <v>0.94732220059256278</v>
      </c>
      <c r="H30">
        <v>0.56598897312198482</v>
      </c>
      <c r="I30">
        <v>0.70861026977414066</v>
      </c>
      <c r="J30">
        <v>212</v>
      </c>
      <c r="K30">
        <v>3</v>
      </c>
      <c r="L30">
        <v>0.6216216216216216</v>
      </c>
      <c r="M30" t="s">
        <v>16</v>
      </c>
    </row>
    <row r="31" spans="1:16" x14ac:dyDescent="0.35">
      <c r="A31" t="s">
        <v>33</v>
      </c>
      <c r="B31" t="s">
        <v>23</v>
      </c>
      <c r="C31">
        <v>47</v>
      </c>
      <c r="D31">
        <v>552.04833653467301</v>
      </c>
      <c r="E31">
        <v>14.19148936170213</v>
      </c>
      <c r="F31">
        <v>0.60917081719043442</v>
      </c>
      <c r="G31">
        <v>0.79840866897096663</v>
      </c>
      <c r="H31">
        <v>0.54046639231824423</v>
      </c>
      <c r="I31">
        <v>0.64459047059826946</v>
      </c>
      <c r="J31">
        <v>277</v>
      </c>
      <c r="K31">
        <v>42</v>
      </c>
      <c r="L31">
        <v>0.41129032258064518</v>
      </c>
      <c r="M31" t="s">
        <v>16</v>
      </c>
    </row>
    <row r="32" spans="1:16" x14ac:dyDescent="0.35">
      <c r="A32" t="s">
        <v>34</v>
      </c>
      <c r="B32" t="s">
        <v>23</v>
      </c>
      <c r="C32">
        <v>1223</v>
      </c>
      <c r="D32">
        <v>492.38031715612789</v>
      </c>
      <c r="E32">
        <v>14.0539656582175</v>
      </c>
      <c r="F32">
        <v>0.73075567052716828</v>
      </c>
      <c r="G32">
        <v>0.65401229326847865</v>
      </c>
      <c r="H32">
        <v>0.40795067213051972</v>
      </c>
      <c r="I32">
        <v>0.50247468756173652</v>
      </c>
      <c r="J32">
        <v>936</v>
      </c>
      <c r="K32">
        <v>270</v>
      </c>
      <c r="L32">
        <v>0.29888551165146909</v>
      </c>
      <c r="M32" t="s">
        <v>16</v>
      </c>
    </row>
    <row r="33" spans="1:16" x14ac:dyDescent="0.35">
      <c r="A33" t="s">
        <v>35</v>
      </c>
      <c r="B33" t="s">
        <v>23</v>
      </c>
      <c r="C33">
        <v>998</v>
      </c>
      <c r="D33">
        <v>101.35081986890449</v>
      </c>
      <c r="E33">
        <v>11.24649298597194</v>
      </c>
      <c r="F33">
        <v>0.75251858363211888</v>
      </c>
      <c r="G33">
        <v>0.77978678001360868</v>
      </c>
      <c r="H33">
        <v>0.72000899280575537</v>
      </c>
      <c r="I33">
        <v>0.74870659626597469</v>
      </c>
      <c r="J33">
        <v>409</v>
      </c>
      <c r="K33">
        <v>131</v>
      </c>
      <c r="L33">
        <v>0.26200873362445409</v>
      </c>
      <c r="M33" t="s">
        <v>16</v>
      </c>
      <c r="N33" t="s">
        <v>36</v>
      </c>
      <c r="O33" t="s">
        <v>38</v>
      </c>
      <c r="P33" t="s">
        <v>39</v>
      </c>
    </row>
    <row r="34" spans="1:16" s="2" customFormat="1" x14ac:dyDescent="0.35">
      <c r="A34" s="2" t="s">
        <v>21</v>
      </c>
      <c r="B34" s="2" t="s">
        <v>23</v>
      </c>
      <c r="C34" s="2">
        <v>3197</v>
      </c>
      <c r="D34" s="2">
        <v>371.26090365026818</v>
      </c>
      <c r="E34" s="2">
        <v>14.05849233656553</v>
      </c>
      <c r="F34" s="2">
        <v>0.76037191595851272</v>
      </c>
      <c r="G34" s="2">
        <v>0.65837375213313254</v>
      </c>
      <c r="H34" s="2">
        <v>0.28838664605505682</v>
      </c>
      <c r="I34" s="2">
        <v>0.40108605850372148</v>
      </c>
      <c r="J34" s="2">
        <v>915</v>
      </c>
      <c r="K34" s="2">
        <v>256</v>
      </c>
      <c r="L34" s="2">
        <v>0.30010384215991692</v>
      </c>
      <c r="M34" s="2" t="s">
        <v>16</v>
      </c>
      <c r="N34" s="1">
        <f>AVERAGE(I24:I33)</f>
        <v>0.63045987037880136</v>
      </c>
      <c r="O34" s="1">
        <f>AVERAGE(I24:I28)</f>
        <v>0.62186626076331331</v>
      </c>
      <c r="P34" s="1">
        <f>(C24*I24+C25*I25+C26*I26+C27*I27+C28*I28+C29*I29+C30*I30+C31*I31+C32*I32+C33*I33)/C34</f>
        <v>0.61073497140360222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commit_categories</vt:lpstr>
      <vt:lpstr>anomaly_normal</vt:lpstr>
      <vt:lpstr>anomaly_categories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Choopannezhad Mahsa</cp:lastModifiedBy>
  <dcterms:created xsi:type="dcterms:W3CDTF">2026-08-28T14:03:24Z</dcterms:created>
  <dcterms:modified xsi:type="dcterms:W3CDTF">2026-08-28T14:05:57Z</dcterms:modified>
</cp:coreProperties>
</file>