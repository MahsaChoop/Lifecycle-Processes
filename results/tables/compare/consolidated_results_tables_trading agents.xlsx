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mpusfl-my.sharepoint.com/personal/mahsa_choopannezhad_uni_li/Documents/Desktop/PhD materials/codes/Lifecycles-Processes/results/tables/TradingAgents/"/>
    </mc:Choice>
  </mc:AlternateContent>
  <xr:revisionPtr revIDLastSave="14" documentId="11_EB556F4FB96B6FB7150A0BF2A3B85C05B7337D86" xr6:coauthVersionLast="47" xr6:coauthVersionMax="47" xr10:uidLastSave="{CA4EC4F8-B221-45D9-9D5F-AD9B89DAE430}"/>
  <bookViews>
    <workbookView xWindow="-110" yWindow="-110" windowWidth="19420" windowHeight="11500" activeTab="2" xr2:uid="{00000000-000D-0000-FFFF-FFFF00000000}"/>
  </bookViews>
  <sheets>
    <sheet name="commit_categories" sheetId="1" r:id="rId1"/>
    <sheet name="anomaly_normal" sheetId="2" r:id="rId2"/>
    <sheet name="anomaly_catego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3" l="1"/>
  <c r="O34" i="3"/>
  <c r="N34" i="3"/>
  <c r="P23" i="3"/>
  <c r="O23" i="3"/>
  <c r="N23" i="3"/>
  <c r="P12" i="3"/>
  <c r="O12" i="3"/>
  <c r="N12" i="3"/>
  <c r="O10" i="2"/>
  <c r="N10" i="2"/>
  <c r="O7" i="2"/>
  <c r="N7" i="2"/>
  <c r="O4" i="2"/>
  <c r="N4" i="2"/>
  <c r="O19" i="1"/>
  <c r="N19" i="1"/>
  <c r="O13" i="1"/>
  <c r="N13" i="1"/>
  <c r="O7" i="1"/>
  <c r="N7" i="1"/>
</calcChain>
</file>

<file path=xl/sharedStrings.xml><?xml version="1.0" encoding="utf-8"?>
<sst xmlns="http://schemas.openxmlformats.org/spreadsheetml/2006/main" count="243" uniqueCount="39">
  <si>
    <t>log_name</t>
  </si>
  <si>
    <t>discovery_method</t>
  </si>
  <si>
    <t>n_cases</t>
  </si>
  <si>
    <t>avg_cycle_time_days</t>
  </si>
  <si>
    <t>avg_trace_length</t>
  </si>
  <si>
    <t>generalization</t>
  </si>
  <si>
    <t>fitness</t>
  </si>
  <si>
    <t>precision</t>
  </si>
  <si>
    <t>f_score</t>
  </si>
  <si>
    <t>size</t>
  </si>
  <si>
    <t>cfc</t>
  </si>
  <si>
    <t>simplicity</t>
  </si>
  <si>
    <t>status</t>
  </si>
  <si>
    <t>error</t>
  </si>
  <si>
    <t>bug_fixes</t>
  </si>
  <si>
    <t>heuristics_dep_0.5</t>
  </si>
  <si>
    <t>ok</t>
  </si>
  <si>
    <t>docs</t>
  </si>
  <si>
    <t>feature_work</t>
  </si>
  <si>
    <t>other</t>
  </si>
  <si>
    <t>tech_debt</t>
  </si>
  <si>
    <t>whole</t>
  </si>
  <si>
    <t>inductive_IMf_noise_0.2</t>
  </si>
  <si>
    <t>split_miner_eps_0.2_eta_0.5</t>
  </si>
  <si>
    <t>anomaly</t>
  </si>
  <si>
    <t>normal</t>
  </si>
  <si>
    <t>anomaly_bug_fixes</t>
  </si>
  <si>
    <t>anomaly_docs</t>
  </si>
  <si>
    <t>anomaly_feature_work</t>
  </si>
  <si>
    <t>anomaly_other</t>
  </si>
  <si>
    <t>anomaly_tech_debt</t>
  </si>
  <si>
    <t>normal_bug_fixes</t>
  </si>
  <si>
    <t>normal_docs</t>
  </si>
  <si>
    <t>normal_feature_work</t>
  </si>
  <si>
    <t>normal_other</t>
  </si>
  <si>
    <t>normal_tech_debt</t>
  </si>
  <si>
    <t>average</t>
  </si>
  <si>
    <t>weighted average</t>
  </si>
  <si>
    <t>anomaly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</si>
</sst>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workbookViewId="0">
      <selection activeCell="I13" sqref="I13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5">
      <c r="A2" t="s">
        <v>14</v>
      </c>
      <c r="B2" t="s">
        <v>15</v>
      </c>
      <c r="C2">
        <v>83</v>
      </c>
      <c r="D2">
        <v>23.90664086903168</v>
      </c>
      <c r="E2">
        <v>10.710843373493979</v>
      </c>
      <c r="F2">
        <v>0.56505410482233887</v>
      </c>
      <c r="G2">
        <v>0.86422163183063538</v>
      </c>
      <c r="H2">
        <v>0.50188679245283019</v>
      </c>
      <c r="I2">
        <v>0.63500292518191459</v>
      </c>
      <c r="J2">
        <v>241</v>
      </c>
      <c r="K2">
        <v>10</v>
      </c>
      <c r="L2">
        <v>0.48223350253807112</v>
      </c>
      <c r="M2" t="s">
        <v>16</v>
      </c>
    </row>
    <row r="3" spans="1:15" x14ac:dyDescent="0.35">
      <c r="A3" t="s">
        <v>17</v>
      </c>
      <c r="B3" t="s">
        <v>15</v>
      </c>
      <c r="C3">
        <v>7</v>
      </c>
      <c r="D3">
        <v>66.698989748677249</v>
      </c>
      <c r="E3">
        <v>9.1428571428571423</v>
      </c>
      <c r="F3">
        <v>0.34227620905980871</v>
      </c>
      <c r="G3">
        <v>0.91858823529411771</v>
      </c>
      <c r="H3">
        <v>0.72602739726027399</v>
      </c>
      <c r="I3">
        <v>0.81103476389634721</v>
      </c>
      <c r="J3">
        <v>107</v>
      </c>
      <c r="K3">
        <v>4</v>
      </c>
      <c r="L3">
        <v>0.64383561643835607</v>
      </c>
      <c r="M3" t="s">
        <v>16</v>
      </c>
    </row>
    <row r="4" spans="1:15" x14ac:dyDescent="0.35">
      <c r="A4" t="s">
        <v>18</v>
      </c>
      <c r="B4" t="s">
        <v>15</v>
      </c>
      <c r="C4">
        <v>55</v>
      </c>
      <c r="D4">
        <v>39.143570707070708</v>
      </c>
      <c r="E4">
        <v>8.1090909090909093</v>
      </c>
      <c r="F4">
        <v>0.46486316237816772</v>
      </c>
      <c r="G4">
        <v>0.80376890233610676</v>
      </c>
      <c r="H4">
        <v>0.63057324840764339</v>
      </c>
      <c r="I4">
        <v>0.70671445784719522</v>
      </c>
      <c r="J4">
        <v>246</v>
      </c>
      <c r="K4">
        <v>18</v>
      </c>
      <c r="L4">
        <v>0.47058823529411759</v>
      </c>
      <c r="M4" t="s">
        <v>16</v>
      </c>
    </row>
    <row r="5" spans="1:15" x14ac:dyDescent="0.35">
      <c r="A5" t="s">
        <v>19</v>
      </c>
      <c r="B5" t="s">
        <v>15</v>
      </c>
      <c r="C5">
        <v>670</v>
      </c>
      <c r="D5">
        <v>80.647259622028741</v>
      </c>
      <c r="E5">
        <v>18.75970149253731</v>
      </c>
      <c r="F5">
        <v>0.49592868351844782</v>
      </c>
      <c r="G5">
        <v>0.90225613853692943</v>
      </c>
      <c r="H5">
        <v>0.27281592655138792</v>
      </c>
      <c r="I5">
        <v>0.41895276338328979</v>
      </c>
      <c r="J5">
        <v>653</v>
      </c>
      <c r="K5">
        <v>37</v>
      </c>
      <c r="L5">
        <v>0.45388788426763121</v>
      </c>
      <c r="M5" t="s">
        <v>16</v>
      </c>
    </row>
    <row r="6" spans="1:15" x14ac:dyDescent="0.35">
      <c r="A6" t="s">
        <v>20</v>
      </c>
      <c r="B6" t="s">
        <v>15</v>
      </c>
      <c r="C6">
        <v>12</v>
      </c>
      <c r="D6">
        <v>111.3197482638889</v>
      </c>
      <c r="E6">
        <v>6.833333333333333</v>
      </c>
      <c r="F6">
        <v>0.39307968809904381</v>
      </c>
      <c r="G6">
        <v>0.88002904865649967</v>
      </c>
      <c r="H6">
        <v>0.53773584905660377</v>
      </c>
      <c r="I6">
        <v>0.66756225723616236</v>
      </c>
      <c r="J6">
        <v>108</v>
      </c>
      <c r="K6">
        <v>2</v>
      </c>
      <c r="L6">
        <v>0.58974358974358976</v>
      </c>
      <c r="M6" t="s">
        <v>16</v>
      </c>
      <c r="N6" t="s">
        <v>36</v>
      </c>
      <c r="O6" t="s">
        <v>37</v>
      </c>
    </row>
    <row r="7" spans="1:15" s="2" customFormat="1" x14ac:dyDescent="0.35">
      <c r="A7" s="2" t="s">
        <v>21</v>
      </c>
      <c r="B7" s="2" t="s">
        <v>15</v>
      </c>
      <c r="C7" s="2">
        <v>827</v>
      </c>
      <c r="D7" s="2">
        <v>72.519397140489943</v>
      </c>
      <c r="E7" s="2">
        <v>16.98911729141475</v>
      </c>
      <c r="F7" s="2">
        <v>0.52779109026518056</v>
      </c>
      <c r="G7" s="2">
        <v>0.88689734056620839</v>
      </c>
      <c r="H7" s="2">
        <v>0.24104338144657839</v>
      </c>
      <c r="I7" s="2">
        <v>0.37906377488449799</v>
      </c>
      <c r="J7" s="2">
        <v>679</v>
      </c>
      <c r="K7" s="2">
        <v>42</v>
      </c>
      <c r="L7" s="2">
        <v>0.44578313253012047</v>
      </c>
      <c r="M7" s="2" t="s">
        <v>16</v>
      </c>
      <c r="N7" s="1">
        <f>AVERAGE(I2:I6)</f>
        <v>0.64785343350898184</v>
      </c>
      <c r="O7" s="1">
        <f>(C2*I2+C3*I3+C4*I4+C5*I5+C6*I6)/C7</f>
        <v>0.46669997566216104</v>
      </c>
    </row>
    <row r="8" spans="1:15" x14ac:dyDescent="0.35">
      <c r="A8" t="s">
        <v>14</v>
      </c>
      <c r="B8" t="s">
        <v>22</v>
      </c>
      <c r="C8">
        <v>83</v>
      </c>
      <c r="D8">
        <v>23.90664086903168</v>
      </c>
      <c r="E8">
        <v>10.710843373493979</v>
      </c>
      <c r="F8">
        <v>0.81159015271766788</v>
      </c>
      <c r="G8">
        <v>0.97787583862211869</v>
      </c>
      <c r="H8">
        <v>0.26671641791044781</v>
      </c>
      <c r="I8">
        <v>0.4191180516663322</v>
      </c>
      <c r="J8">
        <v>123</v>
      </c>
      <c r="K8">
        <v>7</v>
      </c>
      <c r="L8">
        <v>0.60919540229885061</v>
      </c>
      <c r="M8" t="s">
        <v>16</v>
      </c>
    </row>
    <row r="9" spans="1:15" x14ac:dyDescent="0.35">
      <c r="A9" t="s">
        <v>17</v>
      </c>
      <c r="B9" t="s">
        <v>22</v>
      </c>
      <c r="C9">
        <v>7</v>
      </c>
      <c r="D9">
        <v>66.698989748677249</v>
      </c>
      <c r="E9">
        <v>9.1428571428571423</v>
      </c>
      <c r="F9">
        <v>0.40115924167609363</v>
      </c>
      <c r="G9">
        <v>1</v>
      </c>
      <c r="H9">
        <v>0.44162436548223349</v>
      </c>
      <c r="I9">
        <v>0.61267605633802824</v>
      </c>
      <c r="J9">
        <v>113</v>
      </c>
      <c r="K9">
        <v>1</v>
      </c>
      <c r="L9">
        <v>0.6986301369863015</v>
      </c>
      <c r="M9" t="s">
        <v>16</v>
      </c>
    </row>
    <row r="10" spans="1:15" x14ac:dyDescent="0.35">
      <c r="A10" t="s">
        <v>18</v>
      </c>
      <c r="B10" t="s">
        <v>22</v>
      </c>
      <c r="C10">
        <v>55</v>
      </c>
      <c r="D10">
        <v>39.143570707070708</v>
      </c>
      <c r="E10">
        <v>8.1090909090909093</v>
      </c>
      <c r="F10">
        <v>0.75265929029672596</v>
      </c>
      <c r="G10">
        <v>0.99919210048650964</v>
      </c>
      <c r="H10">
        <v>0.21364317841079461</v>
      </c>
      <c r="I10">
        <v>0.35201907448632419</v>
      </c>
      <c r="J10">
        <v>157</v>
      </c>
      <c r="K10">
        <v>2</v>
      </c>
      <c r="L10">
        <v>0.64485981308411222</v>
      </c>
      <c r="M10" t="s">
        <v>16</v>
      </c>
    </row>
    <row r="11" spans="1:15" x14ac:dyDescent="0.35">
      <c r="A11" t="s">
        <v>19</v>
      </c>
      <c r="B11" t="s">
        <v>22</v>
      </c>
      <c r="C11">
        <v>670</v>
      </c>
      <c r="D11">
        <v>80.647259622028741</v>
      </c>
      <c r="E11">
        <v>18.75970149253731</v>
      </c>
      <c r="F11">
        <v>0.74471473702159008</v>
      </c>
      <c r="G11">
        <v>0.96896841564046121</v>
      </c>
      <c r="H11">
        <v>0.50652192944060226</v>
      </c>
      <c r="I11">
        <v>0.66527544974243136</v>
      </c>
      <c r="J11">
        <v>344</v>
      </c>
      <c r="K11">
        <v>7</v>
      </c>
      <c r="L11">
        <v>0.63025210084033623</v>
      </c>
      <c r="M11" t="s">
        <v>16</v>
      </c>
    </row>
    <row r="12" spans="1:15" x14ac:dyDescent="0.35">
      <c r="A12" t="s">
        <v>20</v>
      </c>
      <c r="B12" t="s">
        <v>22</v>
      </c>
      <c r="C12">
        <v>12</v>
      </c>
      <c r="D12">
        <v>111.3197482638889</v>
      </c>
      <c r="E12">
        <v>6.833333333333333</v>
      </c>
      <c r="F12">
        <v>0.46647414965775102</v>
      </c>
      <c r="G12">
        <v>0.97341869398207437</v>
      </c>
      <c r="H12">
        <v>0.4356435643564357</v>
      </c>
      <c r="I12">
        <v>0.60190894610656909</v>
      </c>
      <c r="J12">
        <v>149</v>
      </c>
      <c r="K12">
        <v>4</v>
      </c>
      <c r="L12">
        <v>0.69072164948453607</v>
      </c>
      <c r="M12" t="s">
        <v>16</v>
      </c>
      <c r="N12" t="s">
        <v>36</v>
      </c>
      <c r="O12" t="s">
        <v>37</v>
      </c>
    </row>
    <row r="13" spans="1:15" s="2" customFormat="1" x14ac:dyDescent="0.35">
      <c r="A13" s="2" t="s">
        <v>21</v>
      </c>
      <c r="B13" s="2" t="s">
        <v>22</v>
      </c>
      <c r="C13" s="2">
        <v>827</v>
      </c>
      <c r="D13" s="2">
        <v>72.519397140489943</v>
      </c>
      <c r="E13" s="2">
        <v>16.98911729141475</v>
      </c>
      <c r="F13" s="2">
        <v>0.74326223911354061</v>
      </c>
      <c r="G13" s="2">
        <v>0.95897858343802178</v>
      </c>
      <c r="H13" s="2">
        <v>0.52602889070591441</v>
      </c>
      <c r="I13" s="1">
        <v>0.67939111316248812</v>
      </c>
      <c r="J13" s="2">
        <v>390</v>
      </c>
      <c r="K13" s="2">
        <v>7</v>
      </c>
      <c r="L13" s="2">
        <v>0.62962962962962954</v>
      </c>
      <c r="M13" s="2" t="s">
        <v>16</v>
      </c>
      <c r="N13" s="2">
        <f>AVERAGE(I8:I12)</f>
        <v>0.53019951566793699</v>
      </c>
      <c r="O13" s="2">
        <f>(C8*I8+C9*I9+C10*I10+C11*I11+C12*I12)/C13</f>
        <v>0.61837247697717956</v>
      </c>
    </row>
    <row r="14" spans="1:15" x14ac:dyDescent="0.35">
      <c r="A14" t="s">
        <v>14</v>
      </c>
      <c r="B14" t="s">
        <v>23</v>
      </c>
      <c r="C14">
        <v>83</v>
      </c>
      <c r="D14">
        <v>23.90664086903168</v>
      </c>
      <c r="E14">
        <v>10.710843373493979</v>
      </c>
      <c r="F14">
        <v>0.59678809770563346</v>
      </c>
      <c r="G14">
        <v>0.80764892991736681</v>
      </c>
      <c r="H14">
        <v>0.53762423095125422</v>
      </c>
      <c r="I14">
        <v>0.64553675410436995</v>
      </c>
      <c r="J14">
        <v>312</v>
      </c>
      <c r="K14">
        <v>76</v>
      </c>
      <c r="L14">
        <v>0.31464174454828658</v>
      </c>
      <c r="M14" t="s">
        <v>16</v>
      </c>
    </row>
    <row r="15" spans="1:15" x14ac:dyDescent="0.35">
      <c r="A15" t="s">
        <v>17</v>
      </c>
      <c r="B15" t="s">
        <v>23</v>
      </c>
      <c r="C15">
        <v>7</v>
      </c>
      <c r="D15">
        <v>66.698989748677249</v>
      </c>
      <c r="E15">
        <v>9.1428571428571423</v>
      </c>
      <c r="F15">
        <v>0.3361054395747155</v>
      </c>
      <c r="G15">
        <v>0.9363636363636364</v>
      </c>
      <c r="H15">
        <v>0.81395348837209303</v>
      </c>
      <c r="I15">
        <v>0.87087812537746112</v>
      </c>
      <c r="J15">
        <v>96</v>
      </c>
      <c r="K15">
        <v>0</v>
      </c>
      <c r="L15">
        <v>0.73333333333333328</v>
      </c>
      <c r="M15" t="s">
        <v>16</v>
      </c>
    </row>
    <row r="16" spans="1:15" x14ac:dyDescent="0.35">
      <c r="A16" t="s">
        <v>18</v>
      </c>
      <c r="B16" t="s">
        <v>23</v>
      </c>
      <c r="C16">
        <v>55</v>
      </c>
      <c r="D16">
        <v>39.143570707070708</v>
      </c>
      <c r="E16">
        <v>8.1090909090909093</v>
      </c>
      <c r="F16">
        <v>0.65086158636370528</v>
      </c>
      <c r="G16">
        <v>0.94993708865660087</v>
      </c>
      <c r="H16">
        <v>0.56274980015987208</v>
      </c>
      <c r="I16">
        <v>0.70679122131375927</v>
      </c>
      <c r="J16">
        <v>154</v>
      </c>
      <c r="K16">
        <v>1</v>
      </c>
      <c r="L16">
        <v>0.5752212389380531</v>
      </c>
      <c r="M16" t="s">
        <v>16</v>
      </c>
    </row>
    <row r="17" spans="1:15" x14ac:dyDescent="0.35">
      <c r="A17" t="s">
        <v>19</v>
      </c>
      <c r="B17" t="s">
        <v>23</v>
      </c>
      <c r="C17">
        <v>670</v>
      </c>
      <c r="D17">
        <v>80.647259622028741</v>
      </c>
      <c r="E17">
        <v>18.75970149253731</v>
      </c>
      <c r="F17">
        <v>0.69025611582688629</v>
      </c>
      <c r="G17">
        <v>0.8213618444367593</v>
      </c>
      <c r="H17">
        <v>0.1969884784509193</v>
      </c>
      <c r="I17">
        <v>0.31776652171019898</v>
      </c>
      <c r="J17">
        <v>479</v>
      </c>
      <c r="K17">
        <v>100</v>
      </c>
      <c r="L17">
        <v>0.35193133047210301</v>
      </c>
      <c r="M17" t="s">
        <v>16</v>
      </c>
    </row>
    <row r="18" spans="1:15" x14ac:dyDescent="0.35">
      <c r="A18" t="s">
        <v>20</v>
      </c>
      <c r="B18" t="s">
        <v>23</v>
      </c>
      <c r="C18">
        <v>12</v>
      </c>
      <c r="D18">
        <v>111.3197482638889</v>
      </c>
      <c r="E18">
        <v>6.833333333333333</v>
      </c>
      <c r="F18">
        <v>0.46242358520112897</v>
      </c>
      <c r="G18">
        <v>0.95862068965517244</v>
      </c>
      <c r="H18">
        <v>0.62318840579710144</v>
      </c>
      <c r="I18">
        <v>0.75533931505118157</v>
      </c>
      <c r="J18">
        <v>83</v>
      </c>
      <c r="K18">
        <v>0</v>
      </c>
      <c r="L18">
        <v>0.67272727272727273</v>
      </c>
      <c r="M18" t="s">
        <v>16</v>
      </c>
      <c r="N18" t="s">
        <v>36</v>
      </c>
      <c r="O18" t="s">
        <v>37</v>
      </c>
    </row>
    <row r="19" spans="1:15" s="2" customFormat="1" x14ac:dyDescent="0.35">
      <c r="A19" s="2" t="s">
        <v>21</v>
      </c>
      <c r="B19" s="2" t="s">
        <v>23</v>
      </c>
      <c r="C19" s="2">
        <v>827</v>
      </c>
      <c r="D19" s="2">
        <v>72.519397140489943</v>
      </c>
      <c r="E19" s="2">
        <v>16.98911729141475</v>
      </c>
      <c r="F19" s="2">
        <v>0.74200220065035882</v>
      </c>
      <c r="G19" s="2">
        <v>0.86601871629701832</v>
      </c>
      <c r="H19" s="2">
        <v>0.24917802374319201</v>
      </c>
      <c r="I19" s="2">
        <v>0.3870040585730663</v>
      </c>
      <c r="J19" s="2">
        <v>417</v>
      </c>
      <c r="K19" s="2">
        <v>60</v>
      </c>
      <c r="L19" s="2">
        <v>0.40211640211640209</v>
      </c>
      <c r="M19" s="2" t="s">
        <v>16</v>
      </c>
      <c r="N19" s="1">
        <f>AVERAGE(I14:I18)</f>
        <v>0.65926238751139421</v>
      </c>
      <c r="O19" s="1">
        <f>(C14*I14+C15*I15+C16*I16+C17*I17+C18*I18)/C19</f>
        <v>0.38756572668320338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workbookViewId="0">
      <selection activeCell="I12" sqref="I12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5">
      <c r="A2" t="s">
        <v>24</v>
      </c>
      <c r="B2" t="s">
        <v>15</v>
      </c>
      <c r="C2">
        <v>588</v>
      </c>
      <c r="D2">
        <v>85.327249563019649</v>
      </c>
      <c r="E2">
        <v>15.930272108843541</v>
      </c>
      <c r="F2">
        <v>0.5125548844947061</v>
      </c>
      <c r="G2">
        <v>0.88289230538432184</v>
      </c>
      <c r="H2">
        <v>0.39817943965987129</v>
      </c>
      <c r="I2">
        <v>0.54883665149575811</v>
      </c>
      <c r="J2">
        <v>615</v>
      </c>
      <c r="K2">
        <v>38</v>
      </c>
      <c r="L2">
        <v>0.44761904761904758</v>
      </c>
      <c r="M2" t="s">
        <v>16</v>
      </c>
    </row>
    <row r="3" spans="1:15" x14ac:dyDescent="0.35">
      <c r="A3" t="s">
        <v>25</v>
      </c>
      <c r="B3" t="s">
        <v>15</v>
      </c>
      <c r="C3">
        <v>239</v>
      </c>
      <c r="D3">
        <v>41.008864820626073</v>
      </c>
      <c r="E3">
        <v>19.59414225941423</v>
      </c>
      <c r="F3">
        <v>0.50163270142412053</v>
      </c>
      <c r="G3">
        <v>0.91533556021385021</v>
      </c>
      <c r="H3">
        <v>0.2211782752504674</v>
      </c>
      <c r="I3">
        <v>0.35626902931772708</v>
      </c>
      <c r="J3">
        <v>381</v>
      </c>
      <c r="K3">
        <v>15</v>
      </c>
      <c r="L3">
        <v>0.46540880503144649</v>
      </c>
      <c r="M3" t="s">
        <v>16</v>
      </c>
      <c r="N3" t="s">
        <v>36</v>
      </c>
      <c r="O3" s="3" t="s">
        <v>37</v>
      </c>
    </row>
    <row r="4" spans="1:15" s="2" customFormat="1" x14ac:dyDescent="0.35">
      <c r="A4" s="2" t="s">
        <v>21</v>
      </c>
      <c r="B4" s="2" t="s">
        <v>15</v>
      </c>
      <c r="C4" s="2">
        <v>827</v>
      </c>
      <c r="D4" s="2">
        <v>72.519397140489943</v>
      </c>
      <c r="E4" s="2">
        <v>16.98911729141475</v>
      </c>
      <c r="F4" s="2">
        <v>0.52779109026518056</v>
      </c>
      <c r="G4" s="2">
        <v>0.88689734056620839</v>
      </c>
      <c r="H4" s="2">
        <v>0.24104338144657839</v>
      </c>
      <c r="I4" s="2">
        <v>0.37906377488449799</v>
      </c>
      <c r="J4" s="2">
        <v>679</v>
      </c>
      <c r="K4" s="2">
        <v>42</v>
      </c>
      <c r="L4" s="2">
        <v>0.44578313253012047</v>
      </c>
      <c r="M4" s="2" t="s">
        <v>16</v>
      </c>
      <c r="N4" s="1">
        <f>AVERAGE(I2:I3)</f>
        <v>0.4525528404067426</v>
      </c>
      <c r="O4" s="1">
        <f>(C2*I2+C3*I3)/C4</f>
        <v>0.49318530723874554</v>
      </c>
    </row>
    <row r="5" spans="1:15" x14ac:dyDescent="0.35">
      <c r="A5" t="s">
        <v>24</v>
      </c>
      <c r="B5" t="s">
        <v>22</v>
      </c>
      <c r="C5">
        <v>588</v>
      </c>
      <c r="D5">
        <v>85.327249563019649</v>
      </c>
      <c r="E5">
        <v>15.930272108843541</v>
      </c>
      <c r="F5">
        <v>0.70886110905170185</v>
      </c>
      <c r="G5">
        <v>0.94135771018029957</v>
      </c>
      <c r="H5">
        <v>0.524985835694051</v>
      </c>
      <c r="I5">
        <v>0.67405686144492394</v>
      </c>
      <c r="J5">
        <v>315</v>
      </c>
      <c r="K5">
        <v>7</v>
      </c>
      <c r="L5">
        <v>0.62557077625570778</v>
      </c>
      <c r="M5" t="s">
        <v>16</v>
      </c>
    </row>
    <row r="6" spans="1:15" x14ac:dyDescent="0.35">
      <c r="A6" t="s">
        <v>25</v>
      </c>
      <c r="B6" t="s">
        <v>22</v>
      </c>
      <c r="C6">
        <v>239</v>
      </c>
      <c r="D6">
        <v>41.008864820626073</v>
      </c>
      <c r="E6">
        <v>19.59414225941423</v>
      </c>
      <c r="F6">
        <v>0.69341937021062283</v>
      </c>
      <c r="G6">
        <v>0.98087671584898384</v>
      </c>
      <c r="H6">
        <v>0.66627323694305107</v>
      </c>
      <c r="I6">
        <v>0.79353055063746847</v>
      </c>
      <c r="J6">
        <v>170</v>
      </c>
      <c r="K6">
        <v>1</v>
      </c>
      <c r="L6">
        <v>0.6271186440677966</v>
      </c>
      <c r="M6" t="s">
        <v>16</v>
      </c>
      <c r="N6" t="s">
        <v>36</v>
      </c>
      <c r="O6" s="3" t="s">
        <v>37</v>
      </c>
    </row>
    <row r="7" spans="1:15" s="2" customFormat="1" x14ac:dyDescent="0.35">
      <c r="A7" s="2" t="s">
        <v>21</v>
      </c>
      <c r="B7" s="2" t="s">
        <v>22</v>
      </c>
      <c r="C7" s="2">
        <v>827</v>
      </c>
      <c r="D7" s="2">
        <v>72.519397140489943</v>
      </c>
      <c r="E7" s="2">
        <v>16.98911729141475</v>
      </c>
      <c r="F7" s="2">
        <v>0.74326223911354061</v>
      </c>
      <c r="G7" s="2">
        <v>0.95897858343802178</v>
      </c>
      <c r="H7" s="2">
        <v>0.52602889070591441</v>
      </c>
      <c r="I7" s="2">
        <v>0.67939111316248812</v>
      </c>
      <c r="J7" s="2">
        <v>390</v>
      </c>
      <c r="K7" s="2">
        <v>7</v>
      </c>
      <c r="L7" s="2">
        <v>0.62962962962962954</v>
      </c>
      <c r="M7" s="2" t="s">
        <v>16</v>
      </c>
      <c r="N7" s="1">
        <f>AVERAGE(I5:I6)</f>
        <v>0.7337937060411962</v>
      </c>
      <c r="O7" s="1">
        <f>(C5*I5+C6*I6)/C7</f>
        <v>0.70858432422245499</v>
      </c>
    </row>
    <row r="8" spans="1:15" x14ac:dyDescent="0.35">
      <c r="A8" t="s">
        <v>24</v>
      </c>
      <c r="B8" t="s">
        <v>23</v>
      </c>
      <c r="C8">
        <v>588</v>
      </c>
      <c r="D8">
        <v>85.327249563019649</v>
      </c>
      <c r="E8">
        <v>15.930272108843541</v>
      </c>
      <c r="F8">
        <v>0.7557598648260293</v>
      </c>
      <c r="G8">
        <v>0.79632817696795688</v>
      </c>
      <c r="H8">
        <v>0.29973718139442629</v>
      </c>
      <c r="I8">
        <v>0.43553819379158121</v>
      </c>
      <c r="J8">
        <v>515</v>
      </c>
      <c r="K8">
        <v>99</v>
      </c>
      <c r="L8">
        <v>0.37603305785123969</v>
      </c>
      <c r="M8" t="s">
        <v>16</v>
      </c>
    </row>
    <row r="9" spans="1:15" x14ac:dyDescent="0.35">
      <c r="A9" t="s">
        <v>25</v>
      </c>
      <c r="B9" t="s">
        <v>23</v>
      </c>
      <c r="C9">
        <v>239</v>
      </c>
      <c r="D9">
        <v>41.008864820626073</v>
      </c>
      <c r="E9">
        <v>19.59414225941423</v>
      </c>
      <c r="F9">
        <v>0.66066283960482886</v>
      </c>
      <c r="G9">
        <v>0.97749664222447363</v>
      </c>
      <c r="H9">
        <v>0.23339725832800631</v>
      </c>
      <c r="I9">
        <v>0.37682085311674501</v>
      </c>
      <c r="J9">
        <v>248</v>
      </c>
      <c r="K9">
        <v>2</v>
      </c>
      <c r="L9">
        <v>0.5368421052631579</v>
      </c>
      <c r="M9" t="s">
        <v>16</v>
      </c>
      <c r="N9" t="s">
        <v>36</v>
      </c>
      <c r="O9" s="3" t="s">
        <v>37</v>
      </c>
    </row>
    <row r="10" spans="1:15" s="2" customFormat="1" x14ac:dyDescent="0.35">
      <c r="A10" s="2" t="s">
        <v>21</v>
      </c>
      <c r="B10" s="2" t="s">
        <v>23</v>
      </c>
      <c r="C10" s="2">
        <v>827</v>
      </c>
      <c r="D10" s="2">
        <v>72.519397140489943</v>
      </c>
      <c r="E10" s="2">
        <v>16.98911729141475</v>
      </c>
      <c r="F10" s="2">
        <v>0.74200220065035882</v>
      </c>
      <c r="G10" s="2">
        <v>0.86601871629701832</v>
      </c>
      <c r="H10" s="2">
        <v>0.24917802374319201</v>
      </c>
      <c r="I10" s="2">
        <v>0.3870040585730663</v>
      </c>
      <c r="J10" s="2">
        <v>417</v>
      </c>
      <c r="K10" s="2">
        <v>60</v>
      </c>
      <c r="L10" s="2">
        <v>0.40211640211640209</v>
      </c>
      <c r="M10" s="2" t="s">
        <v>16</v>
      </c>
      <c r="N10" s="1">
        <f>AVERAGE(I8:I9)</f>
        <v>0.40617952345416308</v>
      </c>
      <c r="O10" s="1">
        <f>(C8*I8+C9*I9)/C10</f>
        <v>0.41856909533778941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tabSelected="1" workbookViewId="0">
      <selection activeCell="H38" sqref="H38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x14ac:dyDescent="0.35">
      <c r="A2" t="s">
        <v>26</v>
      </c>
      <c r="B2" t="s">
        <v>15</v>
      </c>
      <c r="C2">
        <v>55</v>
      </c>
      <c r="D2">
        <v>27.706577441077439</v>
      </c>
      <c r="E2">
        <v>11.6</v>
      </c>
      <c r="F2">
        <v>0.5295405258815209</v>
      </c>
      <c r="G2">
        <v>0.84653182765923518</v>
      </c>
      <c r="H2">
        <v>0.64928909952606628</v>
      </c>
      <c r="I2">
        <v>0.73490600126218231</v>
      </c>
      <c r="J2">
        <v>226</v>
      </c>
      <c r="K2">
        <v>12</v>
      </c>
      <c r="L2">
        <v>0.46808510638297868</v>
      </c>
      <c r="M2" t="s">
        <v>16</v>
      </c>
    </row>
    <row r="3" spans="1:16" x14ac:dyDescent="0.35">
      <c r="A3" t="s">
        <v>27</v>
      </c>
      <c r="B3" t="s">
        <v>15</v>
      </c>
      <c r="C3">
        <v>5</v>
      </c>
      <c r="D3">
        <v>92.050150462962961</v>
      </c>
      <c r="E3">
        <v>10.4</v>
      </c>
      <c r="F3">
        <v>0.29298777626617228</v>
      </c>
      <c r="G3">
        <v>0.90912698412698412</v>
      </c>
      <c r="H3">
        <v>0.75510204081632648</v>
      </c>
      <c r="I3">
        <v>0.82498698290502626</v>
      </c>
      <c r="J3">
        <v>97</v>
      </c>
      <c r="K3">
        <v>3</v>
      </c>
      <c r="L3">
        <v>0.66153846153846152</v>
      </c>
      <c r="M3" t="s">
        <v>16</v>
      </c>
    </row>
    <row r="4" spans="1:16" x14ac:dyDescent="0.35">
      <c r="A4" t="s">
        <v>28</v>
      </c>
      <c r="B4" t="s">
        <v>15</v>
      </c>
      <c r="C4">
        <v>38</v>
      </c>
      <c r="D4">
        <v>48.054550438596493</v>
      </c>
      <c r="E4">
        <v>8.7631578947368425</v>
      </c>
      <c r="F4">
        <v>0.46103902175398631</v>
      </c>
      <c r="G4">
        <v>0.8118447378951581</v>
      </c>
      <c r="H4">
        <v>0.6116207951070336</v>
      </c>
      <c r="I4">
        <v>0.69765106717780057</v>
      </c>
      <c r="J4">
        <v>254</v>
      </c>
      <c r="K4">
        <v>16</v>
      </c>
      <c r="L4">
        <v>0.48076923076923073</v>
      </c>
      <c r="M4" t="s">
        <v>16</v>
      </c>
    </row>
    <row r="5" spans="1:16" x14ac:dyDescent="0.35">
      <c r="A5" t="s">
        <v>29</v>
      </c>
      <c r="B5" t="s">
        <v>15</v>
      </c>
      <c r="C5">
        <v>483</v>
      </c>
      <c r="D5">
        <v>93.41010323211411</v>
      </c>
      <c r="E5">
        <v>17.175983436852999</v>
      </c>
      <c r="F5">
        <v>0.48836894833853428</v>
      </c>
      <c r="G5">
        <v>0.89434414964525843</v>
      </c>
      <c r="H5">
        <v>0.3169578045239545</v>
      </c>
      <c r="I5">
        <v>0.46804078402535931</v>
      </c>
      <c r="J5">
        <v>568</v>
      </c>
      <c r="K5">
        <v>30</v>
      </c>
      <c r="L5">
        <v>0.45228215767634861</v>
      </c>
      <c r="M5" t="s">
        <v>16</v>
      </c>
    </row>
    <row r="6" spans="1:16" x14ac:dyDescent="0.35">
      <c r="A6" t="s">
        <v>30</v>
      </c>
      <c r="B6" t="s">
        <v>15</v>
      </c>
      <c r="C6">
        <v>7</v>
      </c>
      <c r="D6">
        <v>177.87963624338619</v>
      </c>
      <c r="E6">
        <v>6.8571428571428568</v>
      </c>
      <c r="F6">
        <v>0.3073077522575095</v>
      </c>
      <c r="G6">
        <v>0.97619047619047616</v>
      </c>
      <c r="H6">
        <v>0.87931034482758619</v>
      </c>
      <c r="I6">
        <v>0.92522123893805308</v>
      </c>
      <c r="J6">
        <v>89</v>
      </c>
      <c r="K6">
        <v>0</v>
      </c>
      <c r="L6">
        <v>0.6393442622950819</v>
      </c>
      <c r="M6" t="s">
        <v>16</v>
      </c>
    </row>
    <row r="7" spans="1:16" x14ac:dyDescent="0.35">
      <c r="A7" t="s">
        <v>31</v>
      </c>
      <c r="B7" t="s">
        <v>15</v>
      </c>
      <c r="C7">
        <v>28</v>
      </c>
      <c r="D7">
        <v>16.44247974537037</v>
      </c>
      <c r="E7">
        <v>8.9642857142857135</v>
      </c>
      <c r="F7">
        <v>0.45417214914822579</v>
      </c>
      <c r="G7">
        <v>0.8755965332504434</v>
      </c>
      <c r="H7">
        <v>0.51622418879056053</v>
      </c>
      <c r="I7">
        <v>0.6495148447311605</v>
      </c>
      <c r="J7">
        <v>188</v>
      </c>
      <c r="K7">
        <v>6</v>
      </c>
      <c r="L7">
        <v>0.54929577464788726</v>
      </c>
      <c r="M7" t="s">
        <v>16</v>
      </c>
    </row>
    <row r="8" spans="1:16" x14ac:dyDescent="0.35">
      <c r="A8" t="s">
        <v>32</v>
      </c>
      <c r="B8" t="s">
        <v>15</v>
      </c>
      <c r="C8">
        <v>2</v>
      </c>
      <c r="D8">
        <v>3.321087962962963</v>
      </c>
      <c r="E8">
        <v>6</v>
      </c>
      <c r="F8">
        <v>0.18305826175840781</v>
      </c>
      <c r="G8">
        <v>1</v>
      </c>
      <c r="H8">
        <v>1</v>
      </c>
      <c r="I8">
        <v>1</v>
      </c>
      <c r="J8">
        <v>32</v>
      </c>
      <c r="K8">
        <v>0</v>
      </c>
      <c r="L8">
        <v>1</v>
      </c>
      <c r="M8" t="s">
        <v>16</v>
      </c>
    </row>
    <row r="9" spans="1:16" x14ac:dyDescent="0.35">
      <c r="A9" t="s">
        <v>33</v>
      </c>
      <c r="B9" t="s">
        <v>15</v>
      </c>
      <c r="C9">
        <v>17</v>
      </c>
      <c r="D9">
        <v>19.22491013071896</v>
      </c>
      <c r="E9">
        <v>6.6470588235294121</v>
      </c>
      <c r="F9">
        <v>0.37508219086080841</v>
      </c>
      <c r="G9">
        <v>0.87204968944099381</v>
      </c>
      <c r="H9">
        <v>0.67226890756302526</v>
      </c>
      <c r="I9">
        <v>0.75923697765280052</v>
      </c>
      <c r="J9">
        <v>130</v>
      </c>
      <c r="K9">
        <v>3</v>
      </c>
      <c r="L9">
        <v>0.55102040816326525</v>
      </c>
      <c r="M9" t="s">
        <v>16</v>
      </c>
    </row>
    <row r="10" spans="1:16" x14ac:dyDescent="0.35">
      <c r="A10" t="s">
        <v>34</v>
      </c>
      <c r="B10" t="s">
        <v>15</v>
      </c>
      <c r="C10">
        <v>187</v>
      </c>
      <c r="D10">
        <v>47.682267837690631</v>
      </c>
      <c r="E10">
        <v>22.850267379679149</v>
      </c>
      <c r="F10">
        <v>0.45117604454141769</v>
      </c>
      <c r="G10">
        <v>0.93149720659907143</v>
      </c>
      <c r="H10">
        <v>0.21120175089534421</v>
      </c>
      <c r="I10">
        <v>0.34433188145935201</v>
      </c>
      <c r="J10">
        <v>371</v>
      </c>
      <c r="K10">
        <v>13</v>
      </c>
      <c r="L10">
        <v>0.47231270358306188</v>
      </c>
      <c r="M10" t="s">
        <v>16</v>
      </c>
    </row>
    <row r="11" spans="1:16" x14ac:dyDescent="0.35">
      <c r="A11" t="s">
        <v>35</v>
      </c>
      <c r="B11" t="s">
        <v>15</v>
      </c>
      <c r="C11">
        <v>5</v>
      </c>
      <c r="D11">
        <v>18.135905092592591</v>
      </c>
      <c r="E11">
        <v>6.8</v>
      </c>
      <c r="F11">
        <v>0.36330174509385238</v>
      </c>
      <c r="G11">
        <v>0.93884189980481458</v>
      </c>
      <c r="H11">
        <v>0.56164383561643838</v>
      </c>
      <c r="I11">
        <v>0.70283209389626733</v>
      </c>
      <c r="J11">
        <v>57</v>
      </c>
      <c r="K11">
        <v>1</v>
      </c>
      <c r="L11">
        <v>0.72222222222222221</v>
      </c>
      <c r="M11" t="s">
        <v>16</v>
      </c>
      <c r="N11" t="s">
        <v>36</v>
      </c>
      <c r="O11" t="s">
        <v>38</v>
      </c>
      <c r="P11" t="s">
        <v>37</v>
      </c>
    </row>
    <row r="12" spans="1:16" s="2" customFormat="1" x14ac:dyDescent="0.35">
      <c r="A12" s="2" t="s">
        <v>21</v>
      </c>
      <c r="B12" s="2" t="s">
        <v>15</v>
      </c>
      <c r="C12" s="2">
        <v>827</v>
      </c>
      <c r="D12" s="2">
        <v>72.519397140489943</v>
      </c>
      <c r="E12" s="2">
        <v>16.98911729141475</v>
      </c>
      <c r="F12" s="2">
        <v>0.52779109026518056</v>
      </c>
      <c r="G12" s="2">
        <v>0.88689734056620839</v>
      </c>
      <c r="H12" s="2">
        <v>0.24104338144657839</v>
      </c>
      <c r="I12" s="2">
        <v>0.37906377488449799</v>
      </c>
      <c r="J12" s="2">
        <v>679</v>
      </c>
      <c r="K12" s="2">
        <v>42</v>
      </c>
      <c r="L12" s="2">
        <v>0.44578313253012047</v>
      </c>
      <c r="M12" s="2" t="s">
        <v>16</v>
      </c>
      <c r="N12" s="1">
        <f>AVERAGE(I2:I11)</f>
        <v>0.71067218720480019</v>
      </c>
      <c r="O12" s="1">
        <f>AVERAGE(I2:I6)</f>
        <v>0.73016121486168439</v>
      </c>
      <c r="P12" s="1">
        <f>(C2*I2+C3*I3+C4*I4+C5*I5+C6*I6+C7*I7+C8*I8+C9*I9+C10*I10+C11*I11)/C12</f>
        <v>0.48923025328714237</v>
      </c>
    </row>
    <row r="13" spans="1:16" x14ac:dyDescent="0.35">
      <c r="A13" t="s">
        <v>26</v>
      </c>
      <c r="B13" t="s">
        <v>22</v>
      </c>
      <c r="C13">
        <v>55</v>
      </c>
      <c r="D13">
        <v>27.706577441077439</v>
      </c>
      <c r="E13">
        <v>11.6</v>
      </c>
      <c r="F13">
        <v>0.77330822282254053</v>
      </c>
      <c r="G13">
        <v>0.99545454545454548</v>
      </c>
      <c r="H13">
        <v>0.26458546571136132</v>
      </c>
      <c r="I13">
        <v>0.41805466837497651</v>
      </c>
      <c r="J13">
        <v>133</v>
      </c>
      <c r="K13">
        <v>1</v>
      </c>
      <c r="L13">
        <v>0.66292134831460681</v>
      </c>
      <c r="M13" t="s">
        <v>16</v>
      </c>
    </row>
    <row r="14" spans="1:16" x14ac:dyDescent="0.35">
      <c r="A14" t="s">
        <v>27</v>
      </c>
      <c r="B14" t="s">
        <v>22</v>
      </c>
      <c r="C14">
        <v>5</v>
      </c>
      <c r="D14">
        <v>92.050150462962961</v>
      </c>
      <c r="E14">
        <v>10.4</v>
      </c>
      <c r="F14">
        <v>0.36866148267487631</v>
      </c>
      <c r="G14">
        <v>1</v>
      </c>
      <c r="H14">
        <v>0.4285714285714286</v>
      </c>
      <c r="I14">
        <v>0.6</v>
      </c>
      <c r="J14">
        <v>113</v>
      </c>
      <c r="K14">
        <v>1</v>
      </c>
      <c r="L14">
        <v>0.6986301369863015</v>
      </c>
      <c r="M14" t="s">
        <v>16</v>
      </c>
    </row>
    <row r="15" spans="1:16" x14ac:dyDescent="0.35">
      <c r="A15" t="s">
        <v>28</v>
      </c>
      <c r="B15" t="s">
        <v>22</v>
      </c>
      <c r="C15">
        <v>38</v>
      </c>
      <c r="D15">
        <v>48.054550438596493</v>
      </c>
      <c r="E15">
        <v>8.7631578947368425</v>
      </c>
      <c r="F15">
        <v>0.71958258166028588</v>
      </c>
      <c r="G15">
        <v>0.99868842880653896</v>
      </c>
      <c r="H15">
        <v>0.19297597042513859</v>
      </c>
      <c r="I15">
        <v>0.32345158389485562</v>
      </c>
      <c r="J15">
        <v>153</v>
      </c>
      <c r="K15">
        <v>3</v>
      </c>
      <c r="L15">
        <v>0.63809523809523816</v>
      </c>
      <c r="M15" t="s">
        <v>16</v>
      </c>
    </row>
    <row r="16" spans="1:16" x14ac:dyDescent="0.35">
      <c r="A16" t="s">
        <v>29</v>
      </c>
      <c r="B16" t="s">
        <v>22</v>
      </c>
      <c r="C16">
        <v>483</v>
      </c>
      <c r="D16">
        <v>93.41010323211411</v>
      </c>
      <c r="E16">
        <v>17.175983436852999</v>
      </c>
      <c r="F16">
        <v>0.72895714082203955</v>
      </c>
      <c r="G16">
        <v>0.95513380412704885</v>
      </c>
      <c r="H16">
        <v>0.49699907663896581</v>
      </c>
      <c r="I16">
        <v>0.65379776879289009</v>
      </c>
      <c r="J16">
        <v>333</v>
      </c>
      <c r="K16">
        <v>7</v>
      </c>
      <c r="L16">
        <v>0.62770562770562777</v>
      </c>
      <c r="M16" t="s">
        <v>16</v>
      </c>
    </row>
    <row r="17" spans="1:16" x14ac:dyDescent="0.35">
      <c r="A17" t="s">
        <v>30</v>
      </c>
      <c r="B17" t="s">
        <v>22</v>
      </c>
      <c r="C17">
        <v>7</v>
      </c>
      <c r="D17">
        <v>177.87963624338619</v>
      </c>
      <c r="E17">
        <v>6.8571428571428568</v>
      </c>
      <c r="F17">
        <v>0.37095344098606808</v>
      </c>
      <c r="G17">
        <v>0.98198198198198194</v>
      </c>
      <c r="H17">
        <v>0.69565217391304346</v>
      </c>
      <c r="I17">
        <v>0.81438244221340184</v>
      </c>
      <c r="J17">
        <v>110</v>
      </c>
      <c r="K17">
        <v>1</v>
      </c>
      <c r="L17">
        <v>0.7142857142857143</v>
      </c>
      <c r="M17" t="s">
        <v>16</v>
      </c>
    </row>
    <row r="18" spans="1:16" x14ac:dyDescent="0.35">
      <c r="A18" t="s">
        <v>31</v>
      </c>
      <c r="B18" t="s">
        <v>22</v>
      </c>
      <c r="C18">
        <v>28</v>
      </c>
      <c r="D18">
        <v>16.44247974537037</v>
      </c>
      <c r="E18">
        <v>8.9642857142857135</v>
      </c>
      <c r="F18">
        <v>0.54789111727261819</v>
      </c>
      <c r="G18">
        <v>0.95868635499656252</v>
      </c>
      <c r="H18">
        <v>0.47433628318584081</v>
      </c>
      <c r="I18">
        <v>0.63465811391064586</v>
      </c>
      <c r="J18">
        <v>138</v>
      </c>
      <c r="K18">
        <v>2</v>
      </c>
      <c r="L18">
        <v>0.68888888888888888</v>
      </c>
      <c r="M18" t="s">
        <v>16</v>
      </c>
    </row>
    <row r="19" spans="1:16" x14ac:dyDescent="0.35">
      <c r="A19" t="s">
        <v>32</v>
      </c>
      <c r="B19" t="s">
        <v>22</v>
      </c>
      <c r="C19">
        <v>2</v>
      </c>
      <c r="D19">
        <v>3.321087962962963</v>
      </c>
      <c r="E19">
        <v>6</v>
      </c>
      <c r="F19">
        <v>0.18305826175840781</v>
      </c>
      <c r="G19">
        <v>1</v>
      </c>
      <c r="H19">
        <v>1</v>
      </c>
      <c r="I19">
        <v>1</v>
      </c>
      <c r="J19">
        <v>32</v>
      </c>
      <c r="K19">
        <v>0</v>
      </c>
      <c r="L19">
        <v>1</v>
      </c>
      <c r="M19" t="s">
        <v>16</v>
      </c>
    </row>
    <row r="20" spans="1:16" x14ac:dyDescent="0.35">
      <c r="A20" t="s">
        <v>33</v>
      </c>
      <c r="B20" t="s">
        <v>22</v>
      </c>
      <c r="C20">
        <v>17</v>
      </c>
      <c r="D20">
        <v>19.22491013071896</v>
      </c>
      <c r="E20">
        <v>6.6470588235294121</v>
      </c>
      <c r="F20">
        <v>0.61084706979081815</v>
      </c>
      <c r="G20">
        <v>0.98413690236233164</v>
      </c>
      <c r="H20">
        <v>0.47826086956521741</v>
      </c>
      <c r="I20">
        <v>0.64370198003603984</v>
      </c>
      <c r="J20">
        <v>99</v>
      </c>
      <c r="K20">
        <v>2</v>
      </c>
      <c r="L20">
        <v>0.7142857142857143</v>
      </c>
      <c r="M20" t="s">
        <v>16</v>
      </c>
    </row>
    <row r="21" spans="1:16" x14ac:dyDescent="0.35">
      <c r="A21" t="s">
        <v>34</v>
      </c>
      <c r="B21" t="s">
        <v>22</v>
      </c>
      <c r="C21">
        <v>187</v>
      </c>
      <c r="D21">
        <v>47.682267837690631</v>
      </c>
      <c r="E21">
        <v>22.850267379679149</v>
      </c>
      <c r="F21">
        <v>0.70757155622908674</v>
      </c>
      <c r="G21">
        <v>0.98475593705643871</v>
      </c>
      <c r="H21">
        <v>0.69555339175592334</v>
      </c>
      <c r="I21">
        <v>0.81526695153863071</v>
      </c>
      <c r="J21">
        <v>146</v>
      </c>
      <c r="K21">
        <v>1</v>
      </c>
      <c r="L21">
        <v>0.64</v>
      </c>
      <c r="M21" t="s">
        <v>16</v>
      </c>
    </row>
    <row r="22" spans="1:16" x14ac:dyDescent="0.35">
      <c r="A22" t="s">
        <v>35</v>
      </c>
      <c r="B22" t="s">
        <v>22</v>
      </c>
      <c r="C22">
        <v>5</v>
      </c>
      <c r="D22">
        <v>18.135905092592591</v>
      </c>
      <c r="E22">
        <v>6.8</v>
      </c>
      <c r="F22">
        <v>0.37514453630673922</v>
      </c>
      <c r="G22">
        <v>1</v>
      </c>
      <c r="H22">
        <v>0.67142857142857149</v>
      </c>
      <c r="I22">
        <v>0.80341880341880345</v>
      </c>
      <c r="J22">
        <v>63</v>
      </c>
      <c r="K22">
        <v>1</v>
      </c>
      <c r="L22">
        <v>0.74358974358974372</v>
      </c>
      <c r="M22" t="s">
        <v>16</v>
      </c>
      <c r="N22" t="s">
        <v>36</v>
      </c>
      <c r="O22" t="s">
        <v>38</v>
      </c>
      <c r="P22" t="s">
        <v>37</v>
      </c>
    </row>
    <row r="23" spans="1:16" s="2" customFormat="1" x14ac:dyDescent="0.35">
      <c r="A23" s="2" t="s">
        <v>21</v>
      </c>
      <c r="B23" s="2" t="s">
        <v>22</v>
      </c>
      <c r="C23" s="2">
        <v>827</v>
      </c>
      <c r="D23" s="2">
        <v>72.519397140489943</v>
      </c>
      <c r="E23" s="2">
        <v>16.98911729141475</v>
      </c>
      <c r="F23" s="2">
        <v>0.74326223911354061</v>
      </c>
      <c r="G23" s="2">
        <v>0.95897858343802178</v>
      </c>
      <c r="H23" s="2">
        <v>0.52602889070591441</v>
      </c>
      <c r="I23" s="1">
        <v>0.67939111316248812</v>
      </c>
      <c r="J23" s="2">
        <v>390</v>
      </c>
      <c r="K23" s="2">
        <v>7</v>
      </c>
      <c r="L23" s="2">
        <v>0.62962962962962954</v>
      </c>
      <c r="M23" s="2" t="s">
        <v>16</v>
      </c>
      <c r="N23" s="2">
        <f>AVERAGE(I13:I22)</f>
        <v>0.67067323121802436</v>
      </c>
      <c r="O23" s="2">
        <f>AVERAGE(I13:I17)</f>
        <v>0.56193729265522485</v>
      </c>
      <c r="P23" s="2">
        <f>(C13*I13+C14*I14+C15*I15+C16*I16+C17*I17+C18*I18+C19*I19+C20*I20+C21*I21+C22*I22)/C23</f>
        <v>0.66137187566628375</v>
      </c>
    </row>
    <row r="24" spans="1:16" x14ac:dyDescent="0.35">
      <c r="A24" t="s">
        <v>26</v>
      </c>
      <c r="B24" t="s">
        <v>23</v>
      </c>
      <c r="C24">
        <v>55</v>
      </c>
      <c r="D24">
        <v>27.706577441077439</v>
      </c>
      <c r="E24">
        <v>11.6</v>
      </c>
      <c r="F24">
        <v>0.64843086440253206</v>
      </c>
      <c r="G24">
        <v>0.93633824828877787</v>
      </c>
      <c r="H24">
        <v>0.55175517551755182</v>
      </c>
      <c r="I24">
        <v>0.69435086032019067</v>
      </c>
      <c r="J24">
        <v>156</v>
      </c>
      <c r="K24">
        <v>1</v>
      </c>
      <c r="L24">
        <v>0.60360360360360354</v>
      </c>
      <c r="M24" t="s">
        <v>16</v>
      </c>
    </row>
    <row r="25" spans="1:16" x14ac:dyDescent="0.35">
      <c r="A25" t="s">
        <v>27</v>
      </c>
      <c r="B25" t="s">
        <v>23</v>
      </c>
      <c r="C25">
        <v>5</v>
      </c>
      <c r="D25">
        <v>92.050150462962961</v>
      </c>
      <c r="E25">
        <v>10.4</v>
      </c>
      <c r="F25">
        <v>0.30848762542009511</v>
      </c>
      <c r="G25">
        <v>0.94252873563218387</v>
      </c>
      <c r="H25">
        <v>0.75</v>
      </c>
      <c r="I25">
        <v>0.83531409168081494</v>
      </c>
      <c r="J25">
        <v>96</v>
      </c>
      <c r="K25">
        <v>0</v>
      </c>
      <c r="L25">
        <v>0.73333333333333328</v>
      </c>
      <c r="M25" t="s">
        <v>16</v>
      </c>
    </row>
    <row r="26" spans="1:16" x14ac:dyDescent="0.35">
      <c r="A26" t="s">
        <v>28</v>
      </c>
      <c r="B26" t="s">
        <v>23</v>
      </c>
      <c r="C26">
        <v>38</v>
      </c>
      <c r="D26">
        <v>48.054550438596493</v>
      </c>
      <c r="E26">
        <v>8.7631578947368425</v>
      </c>
      <c r="F26">
        <v>0.61013604561746138</v>
      </c>
      <c r="G26">
        <v>0.96027397260273972</v>
      </c>
      <c r="H26">
        <v>0.57571801566579639</v>
      </c>
      <c r="I26">
        <v>0.71985665319200476</v>
      </c>
      <c r="J26">
        <v>153</v>
      </c>
      <c r="K26">
        <v>0</v>
      </c>
      <c r="L26">
        <v>0.58558558558558549</v>
      </c>
      <c r="M26" t="s">
        <v>16</v>
      </c>
    </row>
    <row r="27" spans="1:16" x14ac:dyDescent="0.35">
      <c r="A27" t="s">
        <v>29</v>
      </c>
      <c r="B27" t="s">
        <v>23</v>
      </c>
      <c r="C27">
        <v>483</v>
      </c>
      <c r="D27">
        <v>93.41010323211411</v>
      </c>
      <c r="E27">
        <v>17.175983436852999</v>
      </c>
      <c r="F27">
        <v>0.72031408873949576</v>
      </c>
      <c r="G27">
        <v>0.79678854890206163</v>
      </c>
      <c r="H27">
        <v>0.27608279492701598</v>
      </c>
      <c r="I27">
        <v>0.41007640070171952</v>
      </c>
      <c r="J27">
        <v>507</v>
      </c>
      <c r="K27">
        <v>118</v>
      </c>
      <c r="L27">
        <v>0.34538152610441769</v>
      </c>
      <c r="M27" t="s">
        <v>16</v>
      </c>
    </row>
    <row r="28" spans="1:16" x14ac:dyDescent="0.35">
      <c r="A28" t="s">
        <v>30</v>
      </c>
      <c r="B28" t="s">
        <v>23</v>
      </c>
      <c r="C28">
        <v>7</v>
      </c>
      <c r="D28">
        <v>177.87963624338619</v>
      </c>
      <c r="E28">
        <v>6.8571428571428568</v>
      </c>
      <c r="F28">
        <v>0.38229729589385891</v>
      </c>
      <c r="G28">
        <v>0.86712150747238459</v>
      </c>
      <c r="H28">
        <v>1</v>
      </c>
      <c r="I28">
        <v>0.92883243431355489</v>
      </c>
      <c r="J28">
        <v>70</v>
      </c>
      <c r="K28">
        <v>1</v>
      </c>
      <c r="L28">
        <v>0.72727272727272729</v>
      </c>
      <c r="M28" t="s">
        <v>16</v>
      </c>
    </row>
    <row r="29" spans="1:16" x14ac:dyDescent="0.35">
      <c r="A29" t="s">
        <v>31</v>
      </c>
      <c r="B29" t="s">
        <v>23</v>
      </c>
      <c r="C29">
        <v>28</v>
      </c>
      <c r="D29">
        <v>16.44247974537037</v>
      </c>
      <c r="E29">
        <v>8.9642857142857135</v>
      </c>
      <c r="F29">
        <v>0.55683255909357188</v>
      </c>
      <c r="G29">
        <v>0.95185185185185184</v>
      </c>
      <c r="H29">
        <v>0.58522727272727271</v>
      </c>
      <c r="I29">
        <v>0.7248158593685825</v>
      </c>
      <c r="J29">
        <v>132</v>
      </c>
      <c r="K29">
        <v>0</v>
      </c>
      <c r="L29">
        <v>0.64444444444444438</v>
      </c>
      <c r="M29" t="s">
        <v>16</v>
      </c>
    </row>
    <row r="30" spans="1:16" x14ac:dyDescent="0.35">
      <c r="A30" t="s">
        <v>32</v>
      </c>
      <c r="B30" t="s">
        <v>23</v>
      </c>
      <c r="C30">
        <v>2</v>
      </c>
      <c r="D30">
        <v>3.321087962962963</v>
      </c>
      <c r="E30">
        <v>6</v>
      </c>
      <c r="F30">
        <v>0.19526214587563501</v>
      </c>
      <c r="G30">
        <v>1</v>
      </c>
      <c r="H30">
        <v>1</v>
      </c>
      <c r="I30">
        <v>1</v>
      </c>
      <c r="J30">
        <v>36</v>
      </c>
      <c r="K30">
        <v>0</v>
      </c>
      <c r="L30">
        <v>1</v>
      </c>
      <c r="M30" t="s">
        <v>16</v>
      </c>
    </row>
    <row r="31" spans="1:16" x14ac:dyDescent="0.35">
      <c r="A31" t="s">
        <v>33</v>
      </c>
      <c r="B31" t="s">
        <v>23</v>
      </c>
      <c r="C31">
        <v>17</v>
      </c>
      <c r="D31">
        <v>19.22491013071896</v>
      </c>
      <c r="E31">
        <v>6.6470588235294121</v>
      </c>
      <c r="F31">
        <v>0.43746525615324489</v>
      </c>
      <c r="G31">
        <v>0.97131147540983609</v>
      </c>
      <c r="H31">
        <v>0.67105263157894735</v>
      </c>
      <c r="I31">
        <v>0.79373522458628853</v>
      </c>
      <c r="J31">
        <v>112</v>
      </c>
      <c r="K31">
        <v>0</v>
      </c>
      <c r="L31">
        <v>0.60000000000000009</v>
      </c>
      <c r="M31" t="s">
        <v>16</v>
      </c>
    </row>
    <row r="32" spans="1:16" x14ac:dyDescent="0.35">
      <c r="A32" t="s">
        <v>34</v>
      </c>
      <c r="B32" t="s">
        <v>23</v>
      </c>
      <c r="C32">
        <v>187</v>
      </c>
      <c r="D32">
        <v>47.682267837690631</v>
      </c>
      <c r="E32">
        <v>22.850267379679149</v>
      </c>
      <c r="F32">
        <v>0.63596747356687433</v>
      </c>
      <c r="G32">
        <v>0.97921138055119539</v>
      </c>
      <c r="H32">
        <v>0.2095765521398433</v>
      </c>
      <c r="I32">
        <v>0.34525879563306661</v>
      </c>
      <c r="J32">
        <v>231</v>
      </c>
      <c r="K32">
        <v>2</v>
      </c>
      <c r="L32">
        <v>0.53672316384180785</v>
      </c>
      <c r="M32" t="s">
        <v>16</v>
      </c>
    </row>
    <row r="33" spans="1:16" x14ac:dyDescent="0.35">
      <c r="A33" t="s">
        <v>35</v>
      </c>
      <c r="B33" t="s">
        <v>23</v>
      </c>
      <c r="C33">
        <v>5</v>
      </c>
      <c r="D33">
        <v>18.135905092592591</v>
      </c>
      <c r="E33">
        <v>6.8</v>
      </c>
      <c r="F33">
        <v>0.3668208387271884</v>
      </c>
      <c r="G33">
        <v>0.98148148148148151</v>
      </c>
      <c r="H33">
        <v>0.75</v>
      </c>
      <c r="I33">
        <v>0.85026737967914445</v>
      </c>
      <c r="J33">
        <v>56</v>
      </c>
      <c r="K33">
        <v>0</v>
      </c>
      <c r="L33">
        <v>0.76470588235294135</v>
      </c>
      <c r="M33" t="s">
        <v>16</v>
      </c>
      <c r="N33" t="s">
        <v>36</v>
      </c>
      <c r="O33" t="s">
        <v>38</v>
      </c>
      <c r="P33" t="s">
        <v>37</v>
      </c>
    </row>
    <row r="34" spans="1:16" s="2" customFormat="1" x14ac:dyDescent="0.35">
      <c r="A34" s="2" t="s">
        <v>21</v>
      </c>
      <c r="B34" s="2" t="s">
        <v>23</v>
      </c>
      <c r="C34" s="2">
        <v>827</v>
      </c>
      <c r="D34" s="2">
        <v>72.519397140489943</v>
      </c>
      <c r="E34" s="2">
        <v>16.98911729141475</v>
      </c>
      <c r="F34" s="2">
        <v>0.74200220065035882</v>
      </c>
      <c r="G34" s="2">
        <v>0.86601871629701832</v>
      </c>
      <c r="H34" s="2">
        <v>0.24917802374319201</v>
      </c>
      <c r="I34" s="2">
        <v>0.3870040585730663</v>
      </c>
      <c r="J34" s="2">
        <v>417</v>
      </c>
      <c r="K34" s="2">
        <v>60</v>
      </c>
      <c r="L34" s="2">
        <v>0.40211640211640209</v>
      </c>
      <c r="M34" s="2" t="s">
        <v>16</v>
      </c>
      <c r="N34" s="1">
        <f>AVERAGE(I24:I33)</f>
        <v>0.73025076994753657</v>
      </c>
      <c r="O34" s="1">
        <f>AVERAGE(I24:I28)</f>
        <v>0.7176860880416569</v>
      </c>
      <c r="P34" s="1">
        <f>(C24*I24+C25*I25+C26*I26+C27*I27+C28*I28+C29*I29+C30*I30+C31*I31+C32*I32+C33*I33)/C34</f>
        <v>0.4581526284625182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commit_categories</vt:lpstr>
      <vt:lpstr>anomaly_normal</vt:lpstr>
      <vt:lpstr>anomaly_categories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Choopannezhad Mahsa</cp:lastModifiedBy>
  <dcterms:created xsi:type="dcterms:W3CDTF">2026-08-28T15:09:47Z</dcterms:created>
  <dcterms:modified xsi:type="dcterms:W3CDTF">2026-08-28T15:14:02Z</dcterms:modified>
</cp:coreProperties>
</file>