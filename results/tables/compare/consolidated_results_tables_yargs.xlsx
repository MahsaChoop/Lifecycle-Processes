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ampusfl-my.sharepoint.com/personal/mahsa_choopannezhad_uni_li/Documents/Desktop/PhD materials/codes/Lifecycles-Processes/results/tables/yargs/"/>
    </mc:Choice>
  </mc:AlternateContent>
  <xr:revisionPtr revIDLastSave="12" documentId="11_EB556F4FE6E32CA87B6A8018530EA555B7797AB8" xr6:coauthVersionLast="47" xr6:coauthVersionMax="47" xr10:uidLastSave="{A3917B62-56D8-424C-BDC7-0ED383E93497}"/>
  <bookViews>
    <workbookView xWindow="-110" yWindow="-110" windowWidth="19420" windowHeight="11500" xr2:uid="{00000000-000D-0000-FFFF-FFFF00000000}"/>
  </bookViews>
  <sheets>
    <sheet name="commit_categories" sheetId="1" r:id="rId1"/>
    <sheet name="anomaly_normal" sheetId="2" r:id="rId2"/>
    <sheet name="anomaly_categor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1" l="1"/>
  <c r="N19" i="1"/>
  <c r="O13" i="1"/>
  <c r="N13" i="1"/>
  <c r="O7" i="1"/>
  <c r="N7" i="1"/>
  <c r="P34" i="3"/>
  <c r="O34" i="3"/>
  <c r="N34" i="3"/>
  <c r="P23" i="3"/>
  <c r="O23" i="3"/>
  <c r="N23" i="3"/>
  <c r="P12" i="3"/>
  <c r="O12" i="3"/>
  <c r="N12" i="3"/>
  <c r="O10" i="2"/>
  <c r="N10" i="2"/>
  <c r="O7" i="2"/>
  <c r="N7" i="2"/>
  <c r="O4" i="2"/>
  <c r="N4" i="2"/>
</calcChain>
</file>

<file path=xl/sharedStrings.xml><?xml version="1.0" encoding="utf-8"?>
<sst xmlns="http://schemas.openxmlformats.org/spreadsheetml/2006/main" count="243" uniqueCount="40">
  <si>
    <t>log_name</t>
  </si>
  <si>
    <t>discovery_method</t>
  </si>
  <si>
    <t>n_cases</t>
  </si>
  <si>
    <t>avg_cycle_time_days</t>
  </si>
  <si>
    <t>avg_trace_length</t>
  </si>
  <si>
    <t>generalization</t>
  </si>
  <si>
    <t>fitness</t>
  </si>
  <si>
    <t>precision</t>
  </si>
  <si>
    <t>f_score</t>
  </si>
  <si>
    <t>size</t>
  </si>
  <si>
    <t>cfc</t>
  </si>
  <si>
    <t>simplicity</t>
  </si>
  <si>
    <t>status</t>
  </si>
  <si>
    <t>error</t>
  </si>
  <si>
    <t>bug_fixes</t>
  </si>
  <si>
    <t>heuristics_dep_0.5</t>
  </si>
  <si>
    <t>ok</t>
  </si>
  <si>
    <t>docs</t>
  </si>
  <si>
    <t>feature_work</t>
  </si>
  <si>
    <t>other</t>
  </si>
  <si>
    <t>tech_debt</t>
  </si>
  <si>
    <t>whole</t>
  </si>
  <si>
    <t>inductive_IMf_noise_0.2</t>
  </si>
  <si>
    <t>split_miner_eps_0.2_eta_0.5</t>
  </si>
  <si>
    <t>anomaly</t>
  </si>
  <si>
    <t>normal</t>
  </si>
  <si>
    <t>anomaly_bug_fixes</t>
  </si>
  <si>
    <t>anomaly_docs</t>
  </si>
  <si>
    <t>anomaly_feature_work</t>
  </si>
  <si>
    <t>anomaly_other</t>
  </si>
  <si>
    <t>anomaly_tech_debt</t>
  </si>
  <si>
    <t>normal_bug_fixes</t>
  </si>
  <si>
    <t>normal_docs</t>
  </si>
  <si>
    <t>normal_feature_work</t>
  </si>
  <si>
    <t>normal_other</t>
  </si>
  <si>
    <t>normal_tech_debt</t>
  </si>
  <si>
    <t>average</t>
  </si>
  <si>
    <t>weighted average</t>
  </si>
  <si>
    <t>anomaly average</t>
  </si>
  <si>
    <t>wighted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</si>
</sst>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N16" sqref="N1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35">
      <c r="A2" t="s">
        <v>14</v>
      </c>
      <c r="B2" t="s">
        <v>15</v>
      </c>
      <c r="C2">
        <v>126</v>
      </c>
      <c r="D2">
        <v>469.32135343180488</v>
      </c>
      <c r="E2">
        <v>12.15873015873016</v>
      </c>
      <c r="F2">
        <v>0.44940422513844291</v>
      </c>
      <c r="G2">
        <v>0.87734040171593497</v>
      </c>
      <c r="H2">
        <v>0.56719906505648621</v>
      </c>
      <c r="I2">
        <v>0.68897619903930052</v>
      </c>
      <c r="J2">
        <v>452</v>
      </c>
      <c r="K2">
        <v>27</v>
      </c>
      <c r="L2">
        <v>0.46174142480211078</v>
      </c>
      <c r="M2" t="s">
        <v>16</v>
      </c>
    </row>
    <row r="3" spans="1:15" x14ac:dyDescent="0.35">
      <c r="A3" t="s">
        <v>17</v>
      </c>
      <c r="B3" t="s">
        <v>15</v>
      </c>
      <c r="C3">
        <v>46</v>
      </c>
      <c r="D3">
        <v>62.958603311191631</v>
      </c>
      <c r="E3">
        <v>7.7826086956521738</v>
      </c>
      <c r="F3">
        <v>0.48553950220524311</v>
      </c>
      <c r="G3">
        <v>0.91196424921900099</v>
      </c>
      <c r="H3">
        <v>0.59470899470899474</v>
      </c>
      <c r="I3">
        <v>0.71993492158873751</v>
      </c>
      <c r="J3">
        <v>186</v>
      </c>
      <c r="K3">
        <v>6</v>
      </c>
      <c r="L3">
        <v>0.54609929078014185</v>
      </c>
      <c r="M3" t="s">
        <v>16</v>
      </c>
    </row>
    <row r="4" spans="1:15" x14ac:dyDescent="0.35">
      <c r="A4" t="s">
        <v>18</v>
      </c>
      <c r="B4" t="s">
        <v>15</v>
      </c>
      <c r="C4">
        <v>34</v>
      </c>
      <c r="D4">
        <v>563.97724298747278</v>
      </c>
      <c r="E4">
        <v>17.235294117647062</v>
      </c>
      <c r="F4">
        <v>0.44741262094294049</v>
      </c>
      <c r="G4">
        <v>0.89209956985415761</v>
      </c>
      <c r="H4">
        <v>0.3454258675078864</v>
      </c>
      <c r="I4">
        <v>0.49801686254976379</v>
      </c>
      <c r="J4">
        <v>253</v>
      </c>
      <c r="K4">
        <v>12</v>
      </c>
      <c r="L4">
        <v>0.49753694581280788</v>
      </c>
      <c r="M4" t="s">
        <v>16</v>
      </c>
    </row>
    <row r="5" spans="1:15" x14ac:dyDescent="0.35">
      <c r="A5" t="s">
        <v>19</v>
      </c>
      <c r="B5" t="s">
        <v>15</v>
      </c>
      <c r="C5">
        <v>1892</v>
      </c>
      <c r="D5">
        <v>559.40294176014015</v>
      </c>
      <c r="E5">
        <v>14.95560253699789</v>
      </c>
      <c r="F5">
        <v>0.56347420503036127</v>
      </c>
      <c r="G5">
        <v>0.92580188604627744</v>
      </c>
      <c r="H5">
        <v>0.3466716955352187</v>
      </c>
      <c r="I5">
        <v>0.50444946631657983</v>
      </c>
      <c r="J5">
        <v>968</v>
      </c>
      <c r="K5">
        <v>52</v>
      </c>
      <c r="L5">
        <v>0.42321219226260259</v>
      </c>
      <c r="M5" t="s">
        <v>16</v>
      </c>
    </row>
    <row r="6" spans="1:15" x14ac:dyDescent="0.35">
      <c r="A6" t="s">
        <v>20</v>
      </c>
      <c r="B6" t="s">
        <v>15</v>
      </c>
      <c r="C6">
        <v>235</v>
      </c>
      <c r="D6">
        <v>85.624608451536645</v>
      </c>
      <c r="E6">
        <v>9.7106382978723396</v>
      </c>
      <c r="F6">
        <v>0.59679069575512922</v>
      </c>
      <c r="G6">
        <v>0.83419987238908189</v>
      </c>
      <c r="H6">
        <v>0.57883501067398591</v>
      </c>
      <c r="I6">
        <v>0.68344256440698259</v>
      </c>
      <c r="J6">
        <v>381</v>
      </c>
      <c r="K6">
        <v>19</v>
      </c>
      <c r="L6">
        <v>0.46540880503144649</v>
      </c>
      <c r="M6" t="s">
        <v>16</v>
      </c>
      <c r="N6" t="s">
        <v>36</v>
      </c>
      <c r="O6" t="s">
        <v>37</v>
      </c>
    </row>
    <row r="7" spans="1:15" s="3" customFormat="1" x14ac:dyDescent="0.35">
      <c r="A7" s="3" t="s">
        <v>21</v>
      </c>
      <c r="B7" s="3" t="s">
        <v>15</v>
      </c>
      <c r="C7" s="3">
        <v>2333</v>
      </c>
      <c r="D7" s="3">
        <v>497.09299671778513</v>
      </c>
      <c r="E7" s="3">
        <v>14.168024003429061</v>
      </c>
      <c r="F7" s="3">
        <v>0.54618376271428271</v>
      </c>
      <c r="G7" s="3">
        <v>0.8849797934153858</v>
      </c>
      <c r="H7" s="3">
        <v>0.29525651984823259</v>
      </c>
      <c r="I7" s="3">
        <v>0.44278599294626408</v>
      </c>
      <c r="J7" s="3">
        <v>1107</v>
      </c>
      <c r="K7" s="3">
        <v>71</v>
      </c>
      <c r="L7" s="3">
        <v>0.41438703140830802</v>
      </c>
      <c r="M7" s="3" t="s">
        <v>16</v>
      </c>
      <c r="N7" s="2">
        <f>AVERAGE(I2:I6)</f>
        <v>0.61896400278027275</v>
      </c>
      <c r="O7" s="2">
        <f>(C2*I2+C3*I3+C4*I4+C5*I5+C6*I6)/C7</f>
        <v>0.5366000744557804</v>
      </c>
    </row>
    <row r="8" spans="1:15" x14ac:dyDescent="0.35">
      <c r="A8" t="s">
        <v>14</v>
      </c>
      <c r="B8" t="s">
        <v>22</v>
      </c>
      <c r="C8">
        <v>126</v>
      </c>
      <c r="D8">
        <v>469.32135343180488</v>
      </c>
      <c r="E8">
        <v>12.15873015873016</v>
      </c>
      <c r="F8">
        <v>0.65141813958705397</v>
      </c>
      <c r="G8">
        <v>0.98134899432396483</v>
      </c>
      <c r="H8">
        <v>0.43913538111490319</v>
      </c>
      <c r="I8">
        <v>0.60675790889433467</v>
      </c>
      <c r="J8">
        <v>202</v>
      </c>
      <c r="K8">
        <v>2</v>
      </c>
      <c r="L8">
        <v>0.67164179104477606</v>
      </c>
      <c r="M8" t="s">
        <v>16</v>
      </c>
    </row>
    <row r="9" spans="1:15" x14ac:dyDescent="0.35">
      <c r="A9" t="s">
        <v>17</v>
      </c>
      <c r="B9" t="s">
        <v>22</v>
      </c>
      <c r="C9">
        <v>46</v>
      </c>
      <c r="D9">
        <v>62.958603311191631</v>
      </c>
      <c r="E9">
        <v>7.7826086956521738</v>
      </c>
      <c r="F9">
        <v>0.69867568122822343</v>
      </c>
      <c r="G9">
        <v>0.98395271349527835</v>
      </c>
      <c r="H9">
        <v>0.33406957482054112</v>
      </c>
      <c r="I9">
        <v>0.49879075271316109</v>
      </c>
      <c r="J9">
        <v>144</v>
      </c>
      <c r="K9">
        <v>3</v>
      </c>
      <c r="L9">
        <v>0.66666666666666663</v>
      </c>
      <c r="M9" t="s">
        <v>16</v>
      </c>
    </row>
    <row r="10" spans="1:15" x14ac:dyDescent="0.35">
      <c r="A10" t="s">
        <v>18</v>
      </c>
      <c r="B10" t="s">
        <v>22</v>
      </c>
      <c r="C10">
        <v>34</v>
      </c>
      <c r="D10">
        <v>563.97724298747278</v>
      </c>
      <c r="E10">
        <v>17.235294117647062</v>
      </c>
      <c r="F10">
        <v>0.62680153290273855</v>
      </c>
      <c r="G10">
        <v>0.98199279711884757</v>
      </c>
      <c r="H10">
        <v>0.33240027991602522</v>
      </c>
      <c r="I10">
        <v>0.49667741916928132</v>
      </c>
      <c r="J10">
        <v>176</v>
      </c>
      <c r="K10">
        <v>3</v>
      </c>
      <c r="L10">
        <v>0.66101694915254239</v>
      </c>
      <c r="M10" t="s">
        <v>16</v>
      </c>
    </row>
    <row r="11" spans="1:15" x14ac:dyDescent="0.35">
      <c r="A11" t="s">
        <v>19</v>
      </c>
      <c r="B11" t="s">
        <v>22</v>
      </c>
      <c r="C11">
        <v>1892</v>
      </c>
      <c r="D11">
        <v>559.40294176014015</v>
      </c>
      <c r="E11">
        <v>14.95560253699789</v>
      </c>
      <c r="F11">
        <v>0.87462223198085765</v>
      </c>
      <c r="G11">
        <v>0.96744390960723736</v>
      </c>
      <c r="H11">
        <v>0.32317777114506308</v>
      </c>
      <c r="I11">
        <v>0.48450505841880193</v>
      </c>
      <c r="J11">
        <v>430</v>
      </c>
      <c r="K11">
        <v>16</v>
      </c>
      <c r="L11">
        <v>0.61589403973509937</v>
      </c>
      <c r="M11" t="s">
        <v>16</v>
      </c>
    </row>
    <row r="12" spans="1:15" x14ac:dyDescent="0.35">
      <c r="A12" t="s">
        <v>20</v>
      </c>
      <c r="B12" t="s">
        <v>22</v>
      </c>
      <c r="C12">
        <v>235</v>
      </c>
      <c r="D12">
        <v>85.624608451536645</v>
      </c>
      <c r="E12">
        <v>9.7106382978723396</v>
      </c>
      <c r="F12">
        <v>0.80976268731556988</v>
      </c>
      <c r="G12">
        <v>0.99698514798280358</v>
      </c>
      <c r="H12">
        <v>0.19697336980988331</v>
      </c>
      <c r="I12">
        <v>0.3289553553529343</v>
      </c>
      <c r="J12">
        <v>195</v>
      </c>
      <c r="K12">
        <v>2</v>
      </c>
      <c r="L12">
        <v>0.62962962962962954</v>
      </c>
      <c r="M12" t="s">
        <v>16</v>
      </c>
      <c r="N12" t="s">
        <v>36</v>
      </c>
      <c r="O12" t="s">
        <v>37</v>
      </c>
    </row>
    <row r="13" spans="1:15" s="3" customFormat="1" x14ac:dyDescent="0.35">
      <c r="A13" s="3" t="s">
        <v>21</v>
      </c>
      <c r="B13" s="3" t="s">
        <v>22</v>
      </c>
      <c r="C13" s="3">
        <v>2333</v>
      </c>
      <c r="D13" s="3">
        <v>497.09299671778513</v>
      </c>
      <c r="E13" s="3">
        <v>14.168024003429061</v>
      </c>
      <c r="F13" s="3">
        <v>0.87543799820989887</v>
      </c>
      <c r="G13" s="3">
        <v>0.97961918097848055</v>
      </c>
      <c r="H13" s="3">
        <v>0.30635548211967423</v>
      </c>
      <c r="I13" s="3">
        <v>0.46674590891132689</v>
      </c>
      <c r="J13" s="3">
        <v>474</v>
      </c>
      <c r="K13" s="3">
        <v>17</v>
      </c>
      <c r="L13" s="3">
        <v>0.62424242424242415</v>
      </c>
      <c r="M13" s="3" t="s">
        <v>16</v>
      </c>
      <c r="N13" s="2">
        <f>AVERAGE(I8:I12)</f>
        <v>0.48313729890970264</v>
      </c>
      <c r="O13" s="2">
        <f>(C8*I8+C9*I9+C10*I10+C11*I11+C12*I12)/C13</f>
        <v>0.47589840652960136</v>
      </c>
    </row>
    <row r="14" spans="1:15" x14ac:dyDescent="0.35">
      <c r="A14" t="s">
        <v>14</v>
      </c>
      <c r="B14" t="s">
        <v>23</v>
      </c>
      <c r="C14">
        <v>126</v>
      </c>
      <c r="D14">
        <v>469.32135343180488</v>
      </c>
      <c r="E14">
        <v>12.15873015873016</v>
      </c>
      <c r="F14">
        <v>0.65549327376939526</v>
      </c>
      <c r="G14">
        <v>0.80445760643145969</v>
      </c>
      <c r="H14">
        <v>0.6163808190409521</v>
      </c>
      <c r="I14">
        <v>0.6979713237570726</v>
      </c>
      <c r="J14">
        <v>372</v>
      </c>
      <c r="K14">
        <v>85</v>
      </c>
      <c r="L14">
        <v>0.34986225895316808</v>
      </c>
      <c r="M14" t="s">
        <v>16</v>
      </c>
    </row>
    <row r="15" spans="1:15" x14ac:dyDescent="0.35">
      <c r="A15" t="s">
        <v>17</v>
      </c>
      <c r="B15" t="s">
        <v>23</v>
      </c>
      <c r="C15">
        <v>46</v>
      </c>
      <c r="D15">
        <v>62.958603311191631</v>
      </c>
      <c r="E15">
        <v>7.7826086956521738</v>
      </c>
      <c r="F15">
        <v>0.59869703319350065</v>
      </c>
      <c r="G15">
        <v>0.9058515991261874</v>
      </c>
      <c r="H15">
        <v>0.81670061099796332</v>
      </c>
      <c r="I15">
        <v>0.85896909264250232</v>
      </c>
      <c r="J15">
        <v>110</v>
      </c>
      <c r="K15">
        <v>1</v>
      </c>
      <c r="L15">
        <v>0.67123287671232867</v>
      </c>
      <c r="M15" t="s">
        <v>16</v>
      </c>
    </row>
    <row r="16" spans="1:15" x14ac:dyDescent="0.35">
      <c r="A16" t="s">
        <v>18</v>
      </c>
      <c r="B16" t="s">
        <v>23</v>
      </c>
      <c r="C16">
        <v>34</v>
      </c>
      <c r="D16">
        <v>563.97724298747278</v>
      </c>
      <c r="E16">
        <v>17.235294117647062</v>
      </c>
      <c r="F16">
        <v>0.62759619443938297</v>
      </c>
      <c r="G16">
        <v>0.89521422569905451</v>
      </c>
      <c r="H16">
        <v>0.56610800744878964</v>
      </c>
      <c r="I16">
        <v>0.69360190388485021</v>
      </c>
      <c r="J16">
        <v>178</v>
      </c>
      <c r="K16">
        <v>15</v>
      </c>
      <c r="L16">
        <v>0.55223880597014918</v>
      </c>
      <c r="M16" t="s">
        <v>16</v>
      </c>
    </row>
    <row r="17" spans="1:15" x14ac:dyDescent="0.35">
      <c r="A17" t="s">
        <v>19</v>
      </c>
      <c r="B17" t="s">
        <v>23</v>
      </c>
      <c r="C17">
        <v>1892</v>
      </c>
      <c r="D17">
        <v>559.40294176014015</v>
      </c>
      <c r="E17">
        <v>14.95560253699789</v>
      </c>
      <c r="F17">
        <v>0.80603650524565684</v>
      </c>
      <c r="G17">
        <v>0.78500938322933966</v>
      </c>
      <c r="H17">
        <v>0.52214891611687086</v>
      </c>
      <c r="I17">
        <v>0.62714944134889372</v>
      </c>
      <c r="J17">
        <v>578</v>
      </c>
      <c r="K17">
        <v>112</v>
      </c>
      <c r="L17">
        <v>0.35231316725978651</v>
      </c>
      <c r="M17" t="s">
        <v>16</v>
      </c>
    </row>
    <row r="18" spans="1:15" x14ac:dyDescent="0.35">
      <c r="A18" t="s">
        <v>20</v>
      </c>
      <c r="B18" t="s">
        <v>23</v>
      </c>
      <c r="C18">
        <v>235</v>
      </c>
      <c r="D18">
        <v>85.624608451536645</v>
      </c>
      <c r="E18">
        <v>9.7106382978723396</v>
      </c>
      <c r="F18">
        <v>0.76372771745806889</v>
      </c>
      <c r="G18">
        <v>0.8250891853991611</v>
      </c>
      <c r="H18">
        <v>0.72509839539812293</v>
      </c>
      <c r="I18">
        <v>0.77186896838068675</v>
      </c>
      <c r="J18">
        <v>259</v>
      </c>
      <c r="K18">
        <v>34</v>
      </c>
      <c r="L18">
        <v>0.4697674418604651</v>
      </c>
      <c r="M18" t="s">
        <v>16</v>
      </c>
      <c r="N18" t="s">
        <v>36</v>
      </c>
      <c r="O18" t="s">
        <v>37</v>
      </c>
    </row>
    <row r="19" spans="1:15" s="3" customFormat="1" x14ac:dyDescent="0.35">
      <c r="A19" s="3" t="s">
        <v>21</v>
      </c>
      <c r="B19" s="3" t="s">
        <v>23</v>
      </c>
      <c r="C19" s="3">
        <v>2333</v>
      </c>
      <c r="D19" s="3">
        <v>497.09299671778513</v>
      </c>
      <c r="E19" s="3">
        <v>14.168024003429061</v>
      </c>
      <c r="F19" s="3">
        <v>0.78017775665846734</v>
      </c>
      <c r="G19" s="3">
        <v>0.64908309810510745</v>
      </c>
      <c r="H19" s="3">
        <v>0.62673392181588905</v>
      </c>
      <c r="I19" s="3">
        <v>0.63771275866034816</v>
      </c>
      <c r="J19" s="3">
        <v>806</v>
      </c>
      <c r="K19" s="3">
        <v>216</v>
      </c>
      <c r="L19" s="3">
        <v>0.30558858501783592</v>
      </c>
      <c r="M19" s="3" t="s">
        <v>16</v>
      </c>
      <c r="N19" s="2">
        <f>AVERAGE(I14:I18)</f>
        <v>0.72991214600280108</v>
      </c>
      <c r="O19" s="2">
        <f>(C14*I14+C15*I15+C16*I16+C17*I17+C18*I18)/C19</f>
        <v>0.65109103317128136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workbookViewId="0">
      <selection activeCell="H15" sqref="H15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35">
      <c r="A2" t="s">
        <v>24</v>
      </c>
      <c r="B2" t="s">
        <v>15</v>
      </c>
      <c r="C2">
        <v>752</v>
      </c>
      <c r="D2">
        <v>799.42856857023253</v>
      </c>
      <c r="E2">
        <v>14.20478723404255</v>
      </c>
      <c r="F2">
        <v>0.59307718402806409</v>
      </c>
      <c r="G2">
        <v>0.91158471676107222</v>
      </c>
      <c r="H2">
        <v>0.31966313436707972</v>
      </c>
      <c r="I2">
        <v>0.47334097279271697</v>
      </c>
      <c r="J2">
        <v>716</v>
      </c>
      <c r="K2">
        <v>42</v>
      </c>
      <c r="L2">
        <v>0.42313787638668782</v>
      </c>
      <c r="M2" t="s">
        <v>16</v>
      </c>
    </row>
    <row r="3" spans="1:15" x14ac:dyDescent="0.35">
      <c r="A3" t="s">
        <v>25</v>
      </c>
      <c r="B3" t="s">
        <v>15</v>
      </c>
      <c r="C3">
        <v>1581</v>
      </c>
      <c r="D3">
        <v>353.28758872724711</v>
      </c>
      <c r="E3">
        <v>14.1505376344086</v>
      </c>
      <c r="F3">
        <v>0.58707432844401564</v>
      </c>
      <c r="G3">
        <v>0.88126058914477434</v>
      </c>
      <c r="H3">
        <v>0.29950306927798892</v>
      </c>
      <c r="I3">
        <v>0.44706703056080488</v>
      </c>
      <c r="J3">
        <v>933</v>
      </c>
      <c r="K3">
        <v>62</v>
      </c>
      <c r="L3">
        <v>0.41516245487364623</v>
      </c>
      <c r="M3" t="s">
        <v>16</v>
      </c>
      <c r="N3" t="s">
        <v>36</v>
      </c>
      <c r="O3" s="1" t="s">
        <v>37</v>
      </c>
    </row>
    <row r="4" spans="1:15" s="3" customFormat="1" x14ac:dyDescent="0.35">
      <c r="A4" s="3" t="s">
        <v>21</v>
      </c>
      <c r="B4" s="3" t="s">
        <v>15</v>
      </c>
      <c r="C4" s="3">
        <v>2333</v>
      </c>
      <c r="D4" s="3">
        <v>497.09299671778513</v>
      </c>
      <c r="E4" s="3">
        <v>14.168024003429061</v>
      </c>
      <c r="F4" s="3">
        <v>0.54618376271428271</v>
      </c>
      <c r="G4" s="3">
        <v>0.8849797934153858</v>
      </c>
      <c r="H4" s="3">
        <v>0.29525651984823259</v>
      </c>
      <c r="I4" s="3">
        <v>0.44278599294626408</v>
      </c>
      <c r="J4" s="3">
        <v>1107</v>
      </c>
      <c r="K4" s="3">
        <v>71</v>
      </c>
      <c r="L4" s="3">
        <v>0.41438703140830802</v>
      </c>
      <c r="M4" s="3" t="s">
        <v>16</v>
      </c>
      <c r="N4" s="2">
        <f>AVERAGE(I2:I3)</f>
        <v>0.4602040016767609</v>
      </c>
      <c r="O4" s="2">
        <f>(C2*I2+C3*I3)/C4</f>
        <v>0.45553595664670193</v>
      </c>
    </row>
    <row r="5" spans="1:15" x14ac:dyDescent="0.35">
      <c r="A5" t="s">
        <v>24</v>
      </c>
      <c r="B5" t="s">
        <v>22</v>
      </c>
      <c r="C5">
        <v>752</v>
      </c>
      <c r="D5">
        <v>799.42856857023253</v>
      </c>
      <c r="E5">
        <v>14.20478723404255</v>
      </c>
      <c r="F5">
        <v>0.84008261456613842</v>
      </c>
      <c r="G5">
        <v>0.97199017724473857</v>
      </c>
      <c r="H5">
        <v>0.449992569475405</v>
      </c>
      <c r="I5">
        <v>0.61518096245832354</v>
      </c>
      <c r="J5">
        <v>321</v>
      </c>
      <c r="K5">
        <v>9</v>
      </c>
      <c r="L5">
        <v>0.61777777777777776</v>
      </c>
      <c r="M5" t="s">
        <v>16</v>
      </c>
    </row>
    <row r="6" spans="1:15" x14ac:dyDescent="0.35">
      <c r="A6" t="s">
        <v>25</v>
      </c>
      <c r="B6" t="s">
        <v>22</v>
      </c>
      <c r="C6">
        <v>1581</v>
      </c>
      <c r="D6">
        <v>353.28758872724711</v>
      </c>
      <c r="E6">
        <v>14.1505376344086</v>
      </c>
      <c r="F6">
        <v>0.87032271826352614</v>
      </c>
      <c r="G6">
        <v>0.94913089712231113</v>
      </c>
      <c r="H6">
        <v>0.30794885652520199</v>
      </c>
      <c r="I6">
        <v>0.46502025605530772</v>
      </c>
      <c r="J6">
        <v>310</v>
      </c>
      <c r="K6">
        <v>7</v>
      </c>
      <c r="L6">
        <v>0.61467889908256879</v>
      </c>
      <c r="M6" t="s">
        <v>16</v>
      </c>
      <c r="N6" t="s">
        <v>36</v>
      </c>
      <c r="O6" s="1" t="s">
        <v>37</v>
      </c>
    </row>
    <row r="7" spans="1:15" s="3" customFormat="1" x14ac:dyDescent="0.35">
      <c r="A7" s="3" t="s">
        <v>21</v>
      </c>
      <c r="B7" s="3" t="s">
        <v>22</v>
      </c>
      <c r="C7" s="3">
        <v>2333</v>
      </c>
      <c r="D7" s="3">
        <v>497.09299671778513</v>
      </c>
      <c r="E7" s="3">
        <v>14.168024003429061</v>
      </c>
      <c r="F7" s="3">
        <v>0.87543799820989887</v>
      </c>
      <c r="G7" s="3">
        <v>0.97961918097848055</v>
      </c>
      <c r="H7" s="3">
        <v>0.30635548211967423</v>
      </c>
      <c r="I7" s="3">
        <v>0.46674590891132689</v>
      </c>
      <c r="J7" s="3">
        <v>474</v>
      </c>
      <c r="K7" s="3">
        <v>17</v>
      </c>
      <c r="L7" s="3">
        <v>0.62424242424242415</v>
      </c>
      <c r="M7" s="3" t="s">
        <v>16</v>
      </c>
      <c r="N7" s="2">
        <f>AVERAGE(I5:I6)</f>
        <v>0.54010060925681569</v>
      </c>
      <c r="O7" s="2">
        <f>(C5*I5+C6*I6)/C7</f>
        <v>0.51342182108534118</v>
      </c>
    </row>
    <row r="8" spans="1:15" x14ac:dyDescent="0.35">
      <c r="A8" t="s">
        <v>24</v>
      </c>
      <c r="B8" t="s">
        <v>23</v>
      </c>
      <c r="C8">
        <v>752</v>
      </c>
      <c r="D8">
        <v>799.42856857023253</v>
      </c>
      <c r="E8">
        <v>14.20478723404255</v>
      </c>
      <c r="F8">
        <v>0.76605891905918844</v>
      </c>
      <c r="G8">
        <v>0.75778683773589528</v>
      </c>
      <c r="H8">
        <v>0.42658162385795551</v>
      </c>
      <c r="I8">
        <v>0.54587394085881424</v>
      </c>
      <c r="J8">
        <v>605</v>
      </c>
      <c r="K8">
        <v>148</v>
      </c>
      <c r="L8">
        <v>0.31511254019292612</v>
      </c>
      <c r="M8" t="s">
        <v>16</v>
      </c>
    </row>
    <row r="9" spans="1:15" x14ac:dyDescent="0.35">
      <c r="A9" t="s">
        <v>25</v>
      </c>
      <c r="B9" t="s">
        <v>23</v>
      </c>
      <c r="C9">
        <v>1581</v>
      </c>
      <c r="D9">
        <v>353.28758872724711</v>
      </c>
      <c r="E9">
        <v>14.1505376344086</v>
      </c>
      <c r="F9">
        <v>0.79705211499631046</v>
      </c>
      <c r="G9">
        <v>0.78941175346334558</v>
      </c>
      <c r="H9">
        <v>0.43322704873907819</v>
      </c>
      <c r="I9">
        <v>0.55943672583727522</v>
      </c>
      <c r="J9">
        <v>579</v>
      </c>
      <c r="K9">
        <v>104</v>
      </c>
      <c r="L9">
        <v>0.35842293906810041</v>
      </c>
      <c r="M9" t="s">
        <v>16</v>
      </c>
      <c r="N9" t="s">
        <v>36</v>
      </c>
      <c r="O9" s="1" t="s">
        <v>37</v>
      </c>
    </row>
    <row r="10" spans="1:15" s="3" customFormat="1" x14ac:dyDescent="0.35">
      <c r="A10" s="3" t="s">
        <v>21</v>
      </c>
      <c r="B10" s="3" t="s">
        <v>23</v>
      </c>
      <c r="C10" s="3">
        <v>2333</v>
      </c>
      <c r="D10" s="3">
        <v>497.09299671778513</v>
      </c>
      <c r="E10" s="3">
        <v>14.168024003429061</v>
      </c>
      <c r="F10" s="3">
        <v>0.78017775665846734</v>
      </c>
      <c r="G10" s="3">
        <v>0.64908309810510745</v>
      </c>
      <c r="H10" s="3">
        <v>0.62673392181588905</v>
      </c>
      <c r="I10" s="3">
        <v>0.63771275866034816</v>
      </c>
      <c r="J10" s="3">
        <v>806</v>
      </c>
      <c r="K10" s="3">
        <v>216</v>
      </c>
      <c r="L10" s="3">
        <v>0.30558858501783592</v>
      </c>
      <c r="M10" s="3" t="s">
        <v>16</v>
      </c>
      <c r="N10" s="3">
        <f>AVERAGE(I8:I9)</f>
        <v>0.55265533334804473</v>
      </c>
      <c r="O10" s="3">
        <f>(C8*I8+C9*I9)/C10</f>
        <v>0.55506500946187765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4"/>
  <sheetViews>
    <sheetView workbookViewId="0">
      <selection activeCell="A34" sqref="A34:XFD34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6" x14ac:dyDescent="0.35">
      <c r="A2" t="s">
        <v>26</v>
      </c>
      <c r="B2" t="s">
        <v>15</v>
      </c>
      <c r="C2">
        <v>36</v>
      </c>
      <c r="D2">
        <v>567.70328575102883</v>
      </c>
      <c r="E2">
        <v>13.02777777777778</v>
      </c>
      <c r="F2">
        <v>0.45375398974615261</v>
      </c>
      <c r="G2">
        <v>0.90523135523353515</v>
      </c>
      <c r="H2">
        <v>0.69556025369978858</v>
      </c>
      <c r="I2">
        <v>0.78666448223426078</v>
      </c>
      <c r="J2">
        <v>297</v>
      </c>
      <c r="K2">
        <v>14</v>
      </c>
      <c r="L2">
        <v>0.50210970464135019</v>
      </c>
      <c r="M2" t="s">
        <v>16</v>
      </c>
    </row>
    <row r="3" spans="1:16" x14ac:dyDescent="0.35">
      <c r="A3" t="s">
        <v>27</v>
      </c>
      <c r="B3" t="s">
        <v>15</v>
      </c>
      <c r="C3">
        <v>12</v>
      </c>
      <c r="D3">
        <v>77.587340856481475</v>
      </c>
      <c r="E3">
        <v>6.333333333333333</v>
      </c>
      <c r="F3">
        <v>0.34345398368365287</v>
      </c>
      <c r="G3">
        <v>0.93957524548983784</v>
      </c>
      <c r="H3">
        <v>0.55555555555555558</v>
      </c>
      <c r="I3">
        <v>0.69824826982279053</v>
      </c>
      <c r="J3">
        <v>109</v>
      </c>
      <c r="K3">
        <v>1</v>
      </c>
      <c r="L3">
        <v>0.61038961038961048</v>
      </c>
      <c r="M3" t="s">
        <v>16</v>
      </c>
    </row>
    <row r="4" spans="1:16" x14ac:dyDescent="0.35">
      <c r="A4" t="s">
        <v>28</v>
      </c>
      <c r="B4" t="s">
        <v>15</v>
      </c>
      <c r="C4">
        <v>9</v>
      </c>
      <c r="D4">
        <v>688.95671296296291</v>
      </c>
      <c r="E4">
        <v>18.666666666666671</v>
      </c>
      <c r="F4">
        <v>0.39347453440912061</v>
      </c>
      <c r="G4">
        <v>0.8859769513975122</v>
      </c>
      <c r="H4">
        <v>0.528169014084507</v>
      </c>
      <c r="I4">
        <v>0.66180660885557097</v>
      </c>
      <c r="J4">
        <v>153</v>
      </c>
      <c r="K4">
        <v>7</v>
      </c>
      <c r="L4">
        <v>0.56140350877192979</v>
      </c>
      <c r="M4" t="s">
        <v>16</v>
      </c>
    </row>
    <row r="5" spans="1:16" x14ac:dyDescent="0.35">
      <c r="A5" t="s">
        <v>29</v>
      </c>
      <c r="B5" t="s">
        <v>15</v>
      </c>
      <c r="C5">
        <v>599</v>
      </c>
      <c r="D5">
        <v>938.99424246815693</v>
      </c>
      <c r="E5">
        <v>15.116861435726211</v>
      </c>
      <c r="F5">
        <v>0.54985786139482995</v>
      </c>
      <c r="G5">
        <v>0.91009587413822135</v>
      </c>
      <c r="H5">
        <v>0.34529590912832331</v>
      </c>
      <c r="I5">
        <v>0.50064431907751494</v>
      </c>
      <c r="J5">
        <v>682</v>
      </c>
      <c r="K5">
        <v>42</v>
      </c>
      <c r="L5">
        <v>0.42570951585976619</v>
      </c>
      <c r="M5" t="s">
        <v>16</v>
      </c>
    </row>
    <row r="6" spans="1:16" x14ac:dyDescent="0.35">
      <c r="A6" t="s">
        <v>30</v>
      </c>
      <c r="B6" t="s">
        <v>15</v>
      </c>
      <c r="C6">
        <v>96</v>
      </c>
      <c r="D6">
        <v>116.0807867959105</v>
      </c>
      <c r="E6">
        <v>9.5208333333333339</v>
      </c>
      <c r="F6">
        <v>0.51871806323503256</v>
      </c>
      <c r="G6">
        <v>0.84870348561295827</v>
      </c>
      <c r="H6">
        <v>0.45473795659078869</v>
      </c>
      <c r="I6">
        <v>0.59218262716368175</v>
      </c>
      <c r="J6">
        <v>379</v>
      </c>
      <c r="K6">
        <v>20</v>
      </c>
      <c r="L6">
        <v>0.4637223974763407</v>
      </c>
      <c r="M6" t="s">
        <v>16</v>
      </c>
    </row>
    <row r="7" spans="1:16" x14ac:dyDescent="0.35">
      <c r="A7" t="s">
        <v>31</v>
      </c>
      <c r="B7" t="s">
        <v>15</v>
      </c>
      <c r="C7">
        <v>90</v>
      </c>
      <c r="D7">
        <v>429.96858050411521</v>
      </c>
      <c r="E7">
        <v>11.81111111111111</v>
      </c>
      <c r="F7">
        <v>0.43789696448955501</v>
      </c>
      <c r="G7">
        <v>0.85820725227800598</v>
      </c>
      <c r="H7">
        <v>0.73909716908951806</v>
      </c>
      <c r="I7">
        <v>0.79421122506843955</v>
      </c>
      <c r="J7">
        <v>422</v>
      </c>
      <c r="K7">
        <v>28</v>
      </c>
      <c r="L7">
        <v>0.45251396648044689</v>
      </c>
      <c r="M7" t="s">
        <v>16</v>
      </c>
    </row>
    <row r="8" spans="1:16" x14ac:dyDescent="0.35">
      <c r="A8" t="s">
        <v>32</v>
      </c>
      <c r="B8" t="s">
        <v>15</v>
      </c>
      <c r="C8">
        <v>34</v>
      </c>
      <c r="D8">
        <v>57.795519471677558</v>
      </c>
      <c r="E8">
        <v>8.2941176470588243</v>
      </c>
      <c r="F8">
        <v>0.47614417657939062</v>
      </c>
      <c r="G8">
        <v>0.90371876204829837</v>
      </c>
      <c r="H8">
        <v>0.62586206896551722</v>
      </c>
      <c r="I8">
        <v>0.73955332429685139</v>
      </c>
      <c r="J8">
        <v>177</v>
      </c>
      <c r="K8">
        <v>5</v>
      </c>
      <c r="L8">
        <v>0.56060606060606066</v>
      </c>
      <c r="M8" t="s">
        <v>16</v>
      </c>
    </row>
    <row r="9" spans="1:16" x14ac:dyDescent="0.35">
      <c r="A9" t="s">
        <v>33</v>
      </c>
      <c r="B9" t="s">
        <v>15</v>
      </c>
      <c r="C9">
        <v>25</v>
      </c>
      <c r="D9">
        <v>518.98463379629629</v>
      </c>
      <c r="E9">
        <v>16.72</v>
      </c>
      <c r="F9">
        <v>0.43642573197700141</v>
      </c>
      <c r="G9">
        <v>0.90214020162775899</v>
      </c>
      <c r="H9">
        <v>0.39747634069400628</v>
      </c>
      <c r="I9">
        <v>0.55182336398296761</v>
      </c>
      <c r="J9">
        <v>223</v>
      </c>
      <c r="K9">
        <v>9</v>
      </c>
      <c r="L9">
        <v>0.52601156069364163</v>
      </c>
      <c r="M9" t="s">
        <v>16</v>
      </c>
    </row>
    <row r="10" spans="1:16" x14ac:dyDescent="0.35">
      <c r="A10" t="s">
        <v>34</v>
      </c>
      <c r="B10" t="s">
        <v>15</v>
      </c>
      <c r="C10">
        <v>1293</v>
      </c>
      <c r="D10">
        <v>383.55206076702189</v>
      </c>
      <c r="E10">
        <v>14.88089713843774</v>
      </c>
      <c r="F10">
        <v>0.58042388670623457</v>
      </c>
      <c r="G10">
        <v>0.88523000830583876</v>
      </c>
      <c r="H10">
        <v>0.30454128720738338</v>
      </c>
      <c r="I10">
        <v>0.45317799684816279</v>
      </c>
      <c r="J10">
        <v>841</v>
      </c>
      <c r="K10">
        <v>50</v>
      </c>
      <c r="L10">
        <v>0.42126514131897708</v>
      </c>
      <c r="M10" t="s">
        <v>16</v>
      </c>
    </row>
    <row r="11" spans="1:16" x14ac:dyDescent="0.35">
      <c r="A11" t="s">
        <v>35</v>
      </c>
      <c r="B11" t="s">
        <v>15</v>
      </c>
      <c r="C11">
        <v>139</v>
      </c>
      <c r="D11">
        <v>64.5901255662137</v>
      </c>
      <c r="E11">
        <v>9.8417266187050352</v>
      </c>
      <c r="F11">
        <v>0.55052800211933484</v>
      </c>
      <c r="G11">
        <v>0.85865376670397442</v>
      </c>
      <c r="H11">
        <v>0.45105820105820099</v>
      </c>
      <c r="I11">
        <v>0.59143205968118862</v>
      </c>
      <c r="J11">
        <v>398</v>
      </c>
      <c r="K11">
        <v>24</v>
      </c>
      <c r="L11">
        <v>0.46107784431137722</v>
      </c>
      <c r="M11" t="s">
        <v>16</v>
      </c>
      <c r="N11" t="s">
        <v>36</v>
      </c>
      <c r="O11" t="s">
        <v>38</v>
      </c>
      <c r="P11" t="s">
        <v>39</v>
      </c>
    </row>
    <row r="12" spans="1:16" s="3" customFormat="1" x14ac:dyDescent="0.35">
      <c r="A12" s="3" t="s">
        <v>21</v>
      </c>
      <c r="B12" s="3" t="s">
        <v>15</v>
      </c>
      <c r="C12" s="3">
        <v>2333</v>
      </c>
      <c r="D12" s="3">
        <v>497.09299671778513</v>
      </c>
      <c r="E12" s="3">
        <v>14.168024003429061</v>
      </c>
      <c r="F12" s="3">
        <v>0.54618376271428271</v>
      </c>
      <c r="G12" s="3">
        <v>0.8849797934153858</v>
      </c>
      <c r="H12" s="3">
        <v>0.29525651984823259</v>
      </c>
      <c r="I12" s="3">
        <v>0.44278599294626408</v>
      </c>
      <c r="J12" s="3">
        <v>1107</v>
      </c>
      <c r="K12" s="3">
        <v>71</v>
      </c>
      <c r="L12" s="3">
        <v>0.41438703140830802</v>
      </c>
      <c r="M12" s="3" t="s">
        <v>16</v>
      </c>
      <c r="N12" s="2">
        <f>AVERAGE(I2:I11)</f>
        <v>0.63697442770314294</v>
      </c>
      <c r="O12" s="2">
        <f>AVERAGE(I2:I6)</f>
        <v>0.64790926143076377</v>
      </c>
      <c r="P12" s="2">
        <f>(C2*I2+C3*I3+C4*I4+C5*I5+C6*I6+C7*I7+C8*I8+C9*I9+C10*I10+C11*I11)/C12</f>
        <v>0.50491995414287971</v>
      </c>
    </row>
    <row r="13" spans="1:16" x14ac:dyDescent="0.35">
      <c r="A13" t="s">
        <v>26</v>
      </c>
      <c r="B13" t="s">
        <v>22</v>
      </c>
      <c r="C13">
        <v>36</v>
      </c>
      <c r="D13">
        <v>567.70328575102883</v>
      </c>
      <c r="E13">
        <v>13.02777777777778</v>
      </c>
      <c r="F13">
        <v>0.69681622700415657</v>
      </c>
      <c r="G13">
        <v>0.97101914850386872</v>
      </c>
      <c r="H13">
        <v>0.5862808145766345</v>
      </c>
      <c r="I13">
        <v>0.731124267451009</v>
      </c>
      <c r="J13">
        <v>208</v>
      </c>
      <c r="K13">
        <v>5</v>
      </c>
      <c r="L13">
        <v>0.65714285714285714</v>
      </c>
      <c r="M13" t="s">
        <v>16</v>
      </c>
    </row>
    <row r="14" spans="1:16" x14ac:dyDescent="0.35">
      <c r="A14" t="s">
        <v>27</v>
      </c>
      <c r="B14" t="s">
        <v>22</v>
      </c>
      <c r="C14">
        <v>12</v>
      </c>
      <c r="D14">
        <v>77.587340856481475</v>
      </c>
      <c r="E14">
        <v>6.333333333333333</v>
      </c>
      <c r="F14">
        <v>0.51994709560113783</v>
      </c>
      <c r="G14">
        <v>0.98586260937704062</v>
      </c>
      <c r="H14">
        <v>0.27491408934707912</v>
      </c>
      <c r="I14">
        <v>0.42993738978916501</v>
      </c>
      <c r="J14">
        <v>120</v>
      </c>
      <c r="K14">
        <v>4</v>
      </c>
      <c r="L14">
        <v>0.69230769230769218</v>
      </c>
      <c r="M14" t="s">
        <v>16</v>
      </c>
    </row>
    <row r="15" spans="1:16" x14ac:dyDescent="0.35">
      <c r="A15" t="s">
        <v>28</v>
      </c>
      <c r="B15" t="s">
        <v>22</v>
      </c>
      <c r="C15">
        <v>9</v>
      </c>
      <c r="D15">
        <v>688.95671296296291</v>
      </c>
      <c r="E15">
        <v>18.666666666666671</v>
      </c>
      <c r="F15">
        <v>0.64560154118351287</v>
      </c>
      <c r="G15">
        <v>0.97259277225321372</v>
      </c>
      <c r="H15">
        <v>0.44561403508771941</v>
      </c>
      <c r="I15">
        <v>0.61119575438156437</v>
      </c>
      <c r="J15">
        <v>98</v>
      </c>
      <c r="K15">
        <v>2</v>
      </c>
      <c r="L15">
        <v>0.6875</v>
      </c>
      <c r="M15" t="s">
        <v>16</v>
      </c>
    </row>
    <row r="16" spans="1:16" x14ac:dyDescent="0.35">
      <c r="A16" t="s">
        <v>29</v>
      </c>
      <c r="B16" t="s">
        <v>22</v>
      </c>
      <c r="C16">
        <v>599</v>
      </c>
      <c r="D16">
        <v>938.99424246815693</v>
      </c>
      <c r="E16">
        <v>15.116861435726211</v>
      </c>
      <c r="F16">
        <v>0.81706056949817851</v>
      </c>
      <c r="G16">
        <v>0.97157391522362113</v>
      </c>
      <c r="H16">
        <v>0.34998852086072668</v>
      </c>
      <c r="I16">
        <v>0.51460257678552457</v>
      </c>
      <c r="J16">
        <v>382</v>
      </c>
      <c r="K16">
        <v>11</v>
      </c>
      <c r="L16">
        <v>0.62406015037593987</v>
      </c>
      <c r="M16" t="s">
        <v>16</v>
      </c>
    </row>
    <row r="17" spans="1:16" x14ac:dyDescent="0.35">
      <c r="A17" t="s">
        <v>30</v>
      </c>
      <c r="B17" t="s">
        <v>22</v>
      </c>
      <c r="C17">
        <v>96</v>
      </c>
      <c r="D17">
        <v>116.0807867959105</v>
      </c>
      <c r="E17">
        <v>9.5208333333333339</v>
      </c>
      <c r="F17">
        <v>0.77190932965623871</v>
      </c>
      <c r="G17">
        <v>0.95381840800636586</v>
      </c>
      <c r="H17">
        <v>0.26164940828402372</v>
      </c>
      <c r="I17">
        <v>0.41065015250992198</v>
      </c>
      <c r="J17">
        <v>223</v>
      </c>
      <c r="K17">
        <v>5</v>
      </c>
      <c r="L17">
        <v>0.66442953020134221</v>
      </c>
      <c r="M17" t="s">
        <v>16</v>
      </c>
    </row>
    <row r="18" spans="1:16" x14ac:dyDescent="0.35">
      <c r="A18" t="s">
        <v>31</v>
      </c>
      <c r="B18" t="s">
        <v>22</v>
      </c>
      <c r="C18">
        <v>90</v>
      </c>
      <c r="D18">
        <v>429.96858050411521</v>
      </c>
      <c r="E18">
        <v>11.81111111111111</v>
      </c>
      <c r="F18">
        <v>0.64043879086874156</v>
      </c>
      <c r="G18">
        <v>0.97271055798614714</v>
      </c>
      <c r="H18">
        <v>0.4432203389830508</v>
      </c>
      <c r="I18">
        <v>0.60896348001987455</v>
      </c>
      <c r="J18">
        <v>195</v>
      </c>
      <c r="K18">
        <v>1</v>
      </c>
      <c r="L18">
        <v>0.67441860465116277</v>
      </c>
      <c r="M18" t="s">
        <v>16</v>
      </c>
    </row>
    <row r="19" spans="1:16" x14ac:dyDescent="0.35">
      <c r="A19" t="s">
        <v>32</v>
      </c>
      <c r="B19" t="s">
        <v>22</v>
      </c>
      <c r="C19">
        <v>34</v>
      </c>
      <c r="D19">
        <v>57.795519471677558</v>
      </c>
      <c r="E19">
        <v>8.2941176470588243</v>
      </c>
      <c r="F19">
        <v>0.67402688427189172</v>
      </c>
      <c r="G19">
        <v>0.95841350995429542</v>
      </c>
      <c r="H19">
        <v>0.33141210374639768</v>
      </c>
      <c r="I19">
        <v>0.49251594047911168</v>
      </c>
      <c r="J19">
        <v>162</v>
      </c>
      <c r="K19">
        <v>6</v>
      </c>
      <c r="L19">
        <v>0.66666666666666663</v>
      </c>
      <c r="M19" t="s">
        <v>16</v>
      </c>
    </row>
    <row r="20" spans="1:16" x14ac:dyDescent="0.35">
      <c r="A20" t="s">
        <v>33</v>
      </c>
      <c r="B20" t="s">
        <v>22</v>
      </c>
      <c r="C20">
        <v>25</v>
      </c>
      <c r="D20">
        <v>518.98463379629629</v>
      </c>
      <c r="E20">
        <v>16.72</v>
      </c>
      <c r="F20">
        <v>0.58622077439900544</v>
      </c>
      <c r="G20">
        <v>0.98210723192019955</v>
      </c>
      <c r="H20">
        <v>0.32078431372549021</v>
      </c>
      <c r="I20">
        <v>0.48360831789760611</v>
      </c>
      <c r="J20">
        <v>155</v>
      </c>
      <c r="K20">
        <v>2</v>
      </c>
      <c r="L20">
        <v>0.66990291262135926</v>
      </c>
      <c r="M20" t="s">
        <v>16</v>
      </c>
    </row>
    <row r="21" spans="1:16" x14ac:dyDescent="0.35">
      <c r="A21" t="s">
        <v>34</v>
      </c>
      <c r="B21" t="s">
        <v>22</v>
      </c>
      <c r="C21">
        <v>1293</v>
      </c>
      <c r="D21">
        <v>383.55206076702189</v>
      </c>
      <c r="E21">
        <v>14.88089713843774</v>
      </c>
      <c r="F21">
        <v>0.79265199623018234</v>
      </c>
      <c r="G21">
        <v>0.96597034933488413</v>
      </c>
      <c r="H21">
        <v>0.33937577983586098</v>
      </c>
      <c r="I21">
        <v>0.50228354499676786</v>
      </c>
      <c r="J21">
        <v>437</v>
      </c>
      <c r="K21">
        <v>11</v>
      </c>
      <c r="L21">
        <v>0.63455149501661134</v>
      </c>
      <c r="M21" t="s">
        <v>16</v>
      </c>
    </row>
    <row r="22" spans="1:16" x14ac:dyDescent="0.35">
      <c r="A22" t="s">
        <v>35</v>
      </c>
      <c r="B22" t="s">
        <v>22</v>
      </c>
      <c r="C22">
        <v>139</v>
      </c>
      <c r="D22">
        <v>64.5901255662137</v>
      </c>
      <c r="E22">
        <v>9.8417266187050352</v>
      </c>
      <c r="F22">
        <v>0.76559139654813002</v>
      </c>
      <c r="G22">
        <v>0.98461104196301563</v>
      </c>
      <c r="H22">
        <v>0.2478517270429654</v>
      </c>
      <c r="I22">
        <v>0.39601609615019989</v>
      </c>
      <c r="J22">
        <v>153</v>
      </c>
      <c r="K22">
        <v>2</v>
      </c>
      <c r="L22">
        <v>0.63809523809523816</v>
      </c>
      <c r="M22" t="s">
        <v>16</v>
      </c>
      <c r="N22" t="s">
        <v>36</v>
      </c>
      <c r="O22" t="s">
        <v>38</v>
      </c>
      <c r="P22" t="s">
        <v>39</v>
      </c>
    </row>
    <row r="23" spans="1:16" s="3" customFormat="1" x14ac:dyDescent="0.35">
      <c r="A23" s="3" t="s">
        <v>21</v>
      </c>
      <c r="B23" s="3" t="s">
        <v>22</v>
      </c>
      <c r="C23" s="3">
        <v>2333</v>
      </c>
      <c r="D23" s="3">
        <v>497.09299671778513</v>
      </c>
      <c r="E23" s="3">
        <v>14.168024003429061</v>
      </c>
      <c r="F23" s="3">
        <v>0.87543799820989887</v>
      </c>
      <c r="G23" s="3">
        <v>0.97961918097848055</v>
      </c>
      <c r="H23" s="3">
        <v>0.30635548211967423</v>
      </c>
      <c r="I23" s="3">
        <v>0.46674590891132689</v>
      </c>
      <c r="J23" s="3">
        <v>474</v>
      </c>
      <c r="K23" s="3">
        <v>17</v>
      </c>
      <c r="L23" s="3">
        <v>0.62424242424242415</v>
      </c>
      <c r="M23" s="3" t="s">
        <v>16</v>
      </c>
      <c r="N23" s="2">
        <f>AVERAGE(I13:I22)</f>
        <v>0.51808975204607455</v>
      </c>
      <c r="O23" s="2">
        <f>AVERAGE(I13:I17)</f>
        <v>0.53950202818343695</v>
      </c>
      <c r="P23" s="2">
        <f>(C13*I13+C14*I14+C15*I15+C16*I16+C17*I17+C18*I18+C19*I19+C20*I20+C21*I21+C22*I22)/C23</f>
        <v>0.50269659940070266</v>
      </c>
    </row>
    <row r="24" spans="1:16" x14ac:dyDescent="0.35">
      <c r="A24" t="s">
        <v>26</v>
      </c>
      <c r="B24" t="s">
        <v>23</v>
      </c>
      <c r="C24">
        <v>36</v>
      </c>
      <c r="D24">
        <v>567.70328575102883</v>
      </c>
      <c r="E24">
        <v>13.02777777777778</v>
      </c>
      <c r="F24">
        <v>0.6295089058376595</v>
      </c>
      <c r="G24">
        <v>0.94124423963133641</v>
      </c>
      <c r="H24">
        <v>0.75345622119815669</v>
      </c>
      <c r="I24">
        <v>0.8369459316368375</v>
      </c>
      <c r="J24">
        <v>147</v>
      </c>
      <c r="K24">
        <v>0</v>
      </c>
      <c r="L24">
        <v>0.65656565656565657</v>
      </c>
      <c r="M24" t="s">
        <v>16</v>
      </c>
    </row>
    <row r="25" spans="1:16" x14ac:dyDescent="0.35">
      <c r="A25" t="s">
        <v>27</v>
      </c>
      <c r="B25" t="s">
        <v>23</v>
      </c>
      <c r="C25">
        <v>12</v>
      </c>
      <c r="D25">
        <v>77.587340856481475</v>
      </c>
      <c r="E25">
        <v>6.333333333333333</v>
      </c>
      <c r="F25">
        <v>0.42252530138013727</v>
      </c>
      <c r="G25">
        <v>0.93421052631578949</v>
      </c>
      <c r="H25">
        <v>0.73529411764705888</v>
      </c>
      <c r="I25">
        <v>0.8229021789522486</v>
      </c>
      <c r="J25">
        <v>91</v>
      </c>
      <c r="K25">
        <v>0</v>
      </c>
      <c r="L25">
        <v>0.69491525423728817</v>
      </c>
      <c r="M25" t="s">
        <v>16</v>
      </c>
    </row>
    <row r="26" spans="1:16" x14ac:dyDescent="0.35">
      <c r="A26" t="s">
        <v>28</v>
      </c>
      <c r="B26" t="s">
        <v>23</v>
      </c>
      <c r="C26">
        <v>9</v>
      </c>
      <c r="D26">
        <v>688.95671296296291</v>
      </c>
      <c r="E26">
        <v>18.666666666666671</v>
      </c>
      <c r="F26">
        <v>0.59699389625437682</v>
      </c>
      <c r="G26">
        <v>0.92803030303030298</v>
      </c>
      <c r="H26">
        <v>0.79220779220779214</v>
      </c>
      <c r="I26">
        <v>0.85475707054819972</v>
      </c>
      <c r="J26">
        <v>84</v>
      </c>
      <c r="K26">
        <v>0</v>
      </c>
      <c r="L26">
        <v>0.70370370370370372</v>
      </c>
      <c r="M26" t="s">
        <v>16</v>
      </c>
    </row>
    <row r="27" spans="1:16" x14ac:dyDescent="0.35">
      <c r="A27" t="s">
        <v>29</v>
      </c>
      <c r="B27" t="s">
        <v>23</v>
      </c>
      <c r="C27">
        <v>599</v>
      </c>
      <c r="D27">
        <v>938.99424246815693</v>
      </c>
      <c r="E27">
        <v>15.116861435726211</v>
      </c>
      <c r="F27">
        <v>0.76879192903831461</v>
      </c>
      <c r="G27">
        <v>0.8322168760503692</v>
      </c>
      <c r="H27">
        <v>0.50925873169619962</v>
      </c>
      <c r="I27">
        <v>0.63186197102087172</v>
      </c>
      <c r="J27">
        <v>450</v>
      </c>
      <c r="K27">
        <v>79</v>
      </c>
      <c r="L27">
        <v>0.37089201877934269</v>
      </c>
      <c r="M27" t="s">
        <v>16</v>
      </c>
    </row>
    <row r="28" spans="1:16" x14ac:dyDescent="0.35">
      <c r="A28" t="s">
        <v>30</v>
      </c>
      <c r="B28" t="s">
        <v>23</v>
      </c>
      <c r="C28">
        <v>96</v>
      </c>
      <c r="D28">
        <v>116.0807867959105</v>
      </c>
      <c r="E28">
        <v>9.5208333333333339</v>
      </c>
      <c r="F28">
        <v>0.70034552061193289</v>
      </c>
      <c r="G28">
        <v>0.88630215438939508</v>
      </c>
      <c r="H28">
        <v>0.73708068902991841</v>
      </c>
      <c r="I28">
        <v>0.80483319790425778</v>
      </c>
      <c r="J28">
        <v>218</v>
      </c>
      <c r="K28">
        <v>14</v>
      </c>
      <c r="L28">
        <v>0.57499999999999996</v>
      </c>
      <c r="M28" t="s">
        <v>16</v>
      </c>
    </row>
    <row r="29" spans="1:16" x14ac:dyDescent="0.35">
      <c r="A29" t="s">
        <v>31</v>
      </c>
      <c r="B29" t="s">
        <v>23</v>
      </c>
      <c r="C29">
        <v>90</v>
      </c>
      <c r="D29">
        <v>429.96858050411521</v>
      </c>
      <c r="E29">
        <v>11.81111111111111</v>
      </c>
      <c r="F29">
        <v>0.63311433743510348</v>
      </c>
      <c r="G29">
        <v>0.86046700122349584</v>
      </c>
      <c r="H29">
        <v>0.71086448598130847</v>
      </c>
      <c r="I29">
        <v>0.77854410416825526</v>
      </c>
      <c r="J29">
        <v>282</v>
      </c>
      <c r="K29">
        <v>42</v>
      </c>
      <c r="L29">
        <v>0.43089430894308939</v>
      </c>
      <c r="M29" t="s">
        <v>16</v>
      </c>
    </row>
    <row r="30" spans="1:16" x14ac:dyDescent="0.35">
      <c r="A30" t="s">
        <v>32</v>
      </c>
      <c r="B30" t="s">
        <v>23</v>
      </c>
      <c r="C30">
        <v>34</v>
      </c>
      <c r="D30">
        <v>57.795519471677558</v>
      </c>
      <c r="E30">
        <v>8.2941176470588243</v>
      </c>
      <c r="F30">
        <v>0.5809244197515856</v>
      </c>
      <c r="G30">
        <v>0.87347141045635412</v>
      </c>
      <c r="H30">
        <v>0.80780780780780781</v>
      </c>
      <c r="I30">
        <v>0.83935733886253061</v>
      </c>
      <c r="J30">
        <v>97</v>
      </c>
      <c r="K30">
        <v>1</v>
      </c>
      <c r="L30">
        <v>0.70967741935483863</v>
      </c>
      <c r="M30" t="s">
        <v>16</v>
      </c>
    </row>
    <row r="31" spans="1:16" x14ac:dyDescent="0.35">
      <c r="A31" t="s">
        <v>33</v>
      </c>
      <c r="B31" t="s">
        <v>23</v>
      </c>
      <c r="C31">
        <v>25</v>
      </c>
      <c r="D31">
        <v>518.98463379629629</v>
      </c>
      <c r="E31">
        <v>16.72</v>
      </c>
      <c r="F31">
        <v>0.56477006722668333</v>
      </c>
      <c r="G31">
        <v>0.94109396914445997</v>
      </c>
      <c r="H31">
        <v>0.57110609480812635</v>
      </c>
      <c r="I31">
        <v>0.71083782414444285</v>
      </c>
      <c r="J31">
        <v>143</v>
      </c>
      <c r="K31">
        <v>0</v>
      </c>
      <c r="L31">
        <v>0.64948453608247425</v>
      </c>
      <c r="M31" t="s">
        <v>16</v>
      </c>
    </row>
    <row r="32" spans="1:16" x14ac:dyDescent="0.35">
      <c r="A32" t="s">
        <v>34</v>
      </c>
      <c r="B32" t="s">
        <v>23</v>
      </c>
      <c r="C32">
        <v>1293</v>
      </c>
      <c r="D32">
        <v>383.55206076702189</v>
      </c>
      <c r="E32">
        <v>14.88089713843774</v>
      </c>
      <c r="F32">
        <v>0.77564155247945188</v>
      </c>
      <c r="G32">
        <v>0.70499031328637951</v>
      </c>
      <c r="H32">
        <v>0.65623410664684478</v>
      </c>
      <c r="I32">
        <v>0.67973903738350738</v>
      </c>
      <c r="J32">
        <v>677</v>
      </c>
      <c r="K32">
        <v>181</v>
      </c>
      <c r="L32">
        <v>0.29526462395543179</v>
      </c>
      <c r="M32" t="s">
        <v>16</v>
      </c>
    </row>
    <row r="33" spans="1:16" x14ac:dyDescent="0.35">
      <c r="A33" t="s">
        <v>35</v>
      </c>
      <c r="B33" t="s">
        <v>23</v>
      </c>
      <c r="C33">
        <v>139</v>
      </c>
      <c r="D33">
        <v>64.5901255662137</v>
      </c>
      <c r="E33">
        <v>9.8417266187050352</v>
      </c>
      <c r="F33">
        <v>0.7449439010441532</v>
      </c>
      <c r="G33">
        <v>0.9273927392739274</v>
      </c>
      <c r="H33">
        <v>0.78825622775800708</v>
      </c>
      <c r="I33">
        <v>0.85218260420125214</v>
      </c>
      <c r="J33">
        <v>180</v>
      </c>
      <c r="K33">
        <v>0</v>
      </c>
      <c r="L33">
        <v>0.66666666666666663</v>
      </c>
      <c r="M33" t="s">
        <v>16</v>
      </c>
      <c r="N33" t="s">
        <v>36</v>
      </c>
      <c r="O33" t="s">
        <v>38</v>
      </c>
      <c r="P33" t="s">
        <v>39</v>
      </c>
    </row>
    <row r="34" spans="1:16" s="3" customFormat="1" x14ac:dyDescent="0.35">
      <c r="A34" s="3" t="s">
        <v>21</v>
      </c>
      <c r="B34" s="3" t="s">
        <v>23</v>
      </c>
      <c r="C34" s="3">
        <v>2333</v>
      </c>
      <c r="D34" s="3">
        <v>497.09299671778513</v>
      </c>
      <c r="E34" s="3">
        <v>14.168024003429061</v>
      </c>
      <c r="F34" s="3">
        <v>0.78017775665846734</v>
      </c>
      <c r="G34" s="3">
        <v>0.64908309810510745</v>
      </c>
      <c r="H34" s="3">
        <v>0.62673392181588905</v>
      </c>
      <c r="I34" s="3">
        <v>0.63771275866034816</v>
      </c>
      <c r="J34" s="3">
        <v>806</v>
      </c>
      <c r="K34" s="3">
        <v>216</v>
      </c>
      <c r="L34" s="3">
        <v>0.30558858501783592</v>
      </c>
      <c r="M34" s="3" t="s">
        <v>16</v>
      </c>
      <c r="N34" s="2">
        <f>AVERAGE(I24:I33)</f>
        <v>0.78119612588224041</v>
      </c>
      <c r="O34" s="2">
        <f>AVERAGE(I24:I28)</f>
        <v>0.79026007001248311</v>
      </c>
      <c r="P34" s="2">
        <f>(C24*I24+C25*I25+C26*I26+C27*I27+C28*I28+C29*I29+C30*I30+C31*I31+C32*I32+C33*I33)/C34</f>
        <v>0.69317660642200041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commit_categories</vt:lpstr>
      <vt:lpstr>anomaly_normal</vt:lpstr>
      <vt:lpstr>anomaly_categories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Choopannezhad Mahsa</cp:lastModifiedBy>
  <dcterms:created xsi:type="dcterms:W3CDTF">2026-08-28T14:57:31Z</dcterms:created>
  <dcterms:modified xsi:type="dcterms:W3CDTF">2026-08-28T15:01:22Z</dcterms:modified>
</cp:coreProperties>
</file>